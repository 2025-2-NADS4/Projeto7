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C:\Users\19020057\Desktop\"/>
    </mc:Choice>
  </mc:AlternateContent>
  <xr:revisionPtr revIDLastSave="0" documentId="8_{4EBF9049-6F0E-43FA-A535-AE765CD78035}" xr6:coauthVersionLast="36" xr6:coauthVersionMax="36" xr10:uidLastSave="{00000000-0000-0000-0000-000000000000}"/>
  <bookViews>
    <workbookView xWindow="0" yWindow="0" windowWidth="20490" windowHeight="7545" tabRatio="854" firstSheet="5" activeTab="15" xr2:uid="{00000000-000D-0000-FFFF-FFFF00000000}"/>
  </bookViews>
  <sheets>
    <sheet name="Project Charter (2)" sheetId="35" r:id="rId1"/>
    <sheet name="Diagrama de rede-precedência" sheetId="20" r:id="rId2"/>
    <sheet name="WBS Detalhado" sheetId="21" r:id="rId3"/>
    <sheet name="Plano comunicação" sheetId="22" r:id="rId4"/>
    <sheet name="Gestão Custo" sheetId="23" r:id="rId5"/>
    <sheet name="OrçadoXRealizado" sheetId="24" r:id="rId6"/>
    <sheet name="Analise de risco " sheetId="25" r:id="rId7"/>
    <sheet name="Histórico de Risco" sheetId="27" r:id="rId8"/>
    <sheet name="Gráfico de Gantt" sheetId="18" state="hidden" r:id="rId9"/>
    <sheet name="PV_dependência" sheetId="17" state="hidden" r:id="rId10"/>
    <sheet name="Cronograma_de_Custos (2)" sheetId="6" state="hidden" r:id="rId11"/>
    <sheet name="Organograma da equipe" sheetId="26" r:id="rId12"/>
    <sheet name="Identificar" sheetId="30" r:id="rId13"/>
    <sheet name="Qualificar" sheetId="33" r:id="rId14"/>
    <sheet name="Quantificar " sheetId="34" r:id="rId15"/>
    <sheet name="SAM" sheetId="36" r:id="rId16"/>
  </sheets>
  <externalReferences>
    <externalReference r:id="rId17"/>
    <externalReference r:id="rId18"/>
    <externalReference r:id="rId19"/>
    <externalReference r:id="rId20"/>
    <externalReference r:id="rId21"/>
  </externalReferences>
  <definedNames>
    <definedName name="_xlnm._FilterDatabase" localSheetId="12" hidden="1">Identificar!$A$6:$J$17</definedName>
    <definedName name="_xlnm._FilterDatabase" localSheetId="13" hidden="1">Qualificar!$A$6:$K$27</definedName>
    <definedName name="_xlnm._FilterDatabase" localSheetId="14" hidden="1">'Quantificar '!$A$6:$E$17</definedName>
    <definedName name="A" localSheetId="0" hidden="1">{"'TG'!$A$1:$L$37"}</definedName>
    <definedName name="A" hidden="1">{"'TG'!$A$1:$L$37"}</definedName>
    <definedName name="_xlnm.Print_Area" localSheetId="10">'Cronograma_de_Custos (2)'!$B$2:$X$18</definedName>
    <definedName name="_xlnm.Print_Area" localSheetId="12">Identificar!$A$1:$L$27</definedName>
    <definedName name="_xlnm.Print_Area" localSheetId="13">Qualificar!$A$1:$K$11</definedName>
    <definedName name="_xlnm.Print_Area" localSheetId="14">'Quantificar '!$A$1:$E$11</definedName>
    <definedName name="Comprar">[1]Param!#REF!</definedName>
    <definedName name="E"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início_da_tarefa" localSheetId="8">[2]CronogramaDeProjeto!$E1</definedName>
    <definedName name="Início_do_projeto" localSheetId="0">'[5]Gráfico de Gantt'!$G$5</definedName>
    <definedName name="Início_do_projeto">'Gráfico de Gantt'!$G$5</definedName>
    <definedName name="Periodicidade">[3]Param!$AB$5:$AB$9</definedName>
    <definedName name="progresso_da_tarefa" localSheetId="8">[2]CronogramaDeProjeto!$D1</definedName>
    <definedName name="Semana_de_exibição" localSheetId="0">'[5]Gráfico de Gantt'!$G$6</definedName>
    <definedName name="Semana_de_exibição">'Gráfico de Gantt'!$G$6</definedName>
    <definedName name="Status">[1]Param!#REF!</definedName>
    <definedName name="t" localSheetId="0" hidden="1">{"'TG'!$A$1:$L$37"}</definedName>
    <definedName name="t" hidden="1">{"'TG'!$A$1:$L$37"}</definedName>
    <definedName name="término_da_tarefa" localSheetId="8">[2]CronogramaDeProjeto!$F1</definedName>
    <definedName name="VersaoExcel">[3]Param!$D$15:$E$15</definedName>
    <definedName name="VersaoSR">[3]Param!$C$24:$C$26</definedName>
  </definedNames>
  <calcPr calcId="191028"/>
  <pivotCaches>
    <pivotCache cacheId="2" r:id="rId22"/>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 i="34" l="1"/>
  <c r="A8" i="34"/>
  <c r="B8" i="34"/>
  <c r="C8" i="34"/>
  <c r="D8" i="34"/>
  <c r="E8" i="34"/>
  <c r="J8" i="34"/>
  <c r="K8" i="34"/>
  <c r="A9" i="34"/>
  <c r="B9" i="34"/>
  <c r="C9" i="34"/>
  <c r="D9" i="34"/>
  <c r="E9" i="34"/>
  <c r="J9" i="34"/>
  <c r="K9" i="34"/>
  <c r="A10" i="34"/>
  <c r="B10" i="34"/>
  <c r="C10" i="34"/>
  <c r="D10" i="34"/>
  <c r="E10" i="34"/>
  <c r="J10" i="34"/>
  <c r="K10" i="34"/>
  <c r="A11" i="34"/>
  <c r="B11" i="34"/>
  <c r="C11" i="34"/>
  <c r="D11" i="34"/>
  <c r="E11" i="34"/>
  <c r="J11" i="34"/>
  <c r="K11" i="34"/>
  <c r="A12" i="34"/>
  <c r="B12" i="34"/>
  <c r="C12" i="34"/>
  <c r="D12" i="34"/>
  <c r="E12" i="34"/>
  <c r="J12" i="34"/>
  <c r="K12" i="34"/>
  <c r="A13" i="34"/>
  <c r="B13" i="34"/>
  <c r="C13" i="34"/>
  <c r="D13" i="34"/>
  <c r="E13" i="34"/>
  <c r="J13" i="34"/>
  <c r="K13" i="34"/>
  <c r="A14" i="34"/>
  <c r="B14" i="34"/>
  <c r="C14" i="34"/>
  <c r="D14" i="34"/>
  <c r="E14" i="34"/>
  <c r="J14" i="34"/>
  <c r="K14" i="34"/>
  <c r="A15" i="34"/>
  <c r="B15" i="34"/>
  <c r="C15" i="34"/>
  <c r="D15" i="34"/>
  <c r="E15" i="34"/>
  <c r="J15" i="34"/>
  <c r="K15" i="34"/>
  <c r="A16" i="34"/>
  <c r="B16" i="34"/>
  <c r="C16" i="34"/>
  <c r="D16" i="34"/>
  <c r="E16" i="34"/>
  <c r="J16" i="34"/>
  <c r="K16" i="34"/>
  <c r="A17" i="34"/>
  <c r="B17" i="34"/>
  <c r="C17" i="34"/>
  <c r="D17" i="34"/>
  <c r="E17" i="34"/>
  <c r="J17" i="34"/>
  <c r="K17" i="34"/>
  <c r="A18" i="34"/>
  <c r="B18" i="34"/>
  <c r="C18" i="34"/>
  <c r="D18" i="34"/>
  <c r="E18" i="34"/>
  <c r="J18" i="34"/>
  <c r="K18" i="34"/>
  <c r="A19" i="34"/>
  <c r="B19" i="34"/>
  <c r="C19" i="34"/>
  <c r="D19" i="34"/>
  <c r="E19" i="34"/>
  <c r="J19" i="34"/>
  <c r="K19" i="34"/>
  <c r="A20" i="34"/>
  <c r="B20" i="34"/>
  <c r="C20" i="34"/>
  <c r="D20" i="34"/>
  <c r="E20" i="34"/>
  <c r="J20" i="34"/>
  <c r="K20" i="34"/>
  <c r="A21" i="34"/>
  <c r="B21" i="34"/>
  <c r="C21" i="34"/>
  <c r="D21" i="34"/>
  <c r="E21" i="34"/>
  <c r="J21" i="34"/>
  <c r="K21" i="34"/>
  <c r="A22" i="34"/>
  <c r="B22" i="34"/>
  <c r="C22" i="34"/>
  <c r="D22" i="34"/>
  <c r="E22" i="34"/>
  <c r="J22" i="34"/>
  <c r="K22" i="34"/>
  <c r="A23" i="34"/>
  <c r="B23" i="34"/>
  <c r="C23" i="34"/>
  <c r="D23" i="34"/>
  <c r="E23" i="34"/>
  <c r="J23" i="34"/>
  <c r="K23" i="34"/>
  <c r="A24" i="34"/>
  <c r="B24" i="34"/>
  <c r="C24" i="34"/>
  <c r="D24" i="34"/>
  <c r="E24" i="34"/>
  <c r="J24" i="34"/>
  <c r="K24" i="34"/>
  <c r="A25" i="34"/>
  <c r="B25" i="34"/>
  <c r="C25" i="34"/>
  <c r="D25" i="34"/>
  <c r="E25" i="34"/>
  <c r="J25" i="34"/>
  <c r="K25" i="34"/>
  <c r="A26" i="34"/>
  <c r="B26" i="34"/>
  <c r="C26" i="34"/>
  <c r="D26" i="34"/>
  <c r="E26" i="34"/>
  <c r="J26" i="34"/>
  <c r="K26" i="34"/>
  <c r="A27" i="34"/>
  <c r="B27" i="34"/>
  <c r="C27" i="34"/>
  <c r="D27" i="34"/>
  <c r="E27" i="34"/>
  <c r="J27" i="34"/>
  <c r="K27" i="34"/>
  <c r="A28" i="34"/>
  <c r="B28" i="34"/>
  <c r="C28" i="34"/>
  <c r="D28" i="34"/>
  <c r="E28" i="34"/>
  <c r="J28" i="34"/>
  <c r="K28" i="34"/>
  <c r="A29" i="34"/>
  <c r="B29" i="34"/>
  <c r="C29" i="34"/>
  <c r="D29" i="34"/>
  <c r="E29" i="34"/>
  <c r="J29" i="34"/>
  <c r="K29" i="34"/>
  <c r="A4" i="33"/>
  <c r="A8" i="33"/>
  <c r="B8" i="33"/>
  <c r="C8" i="33"/>
  <c r="D8" i="33"/>
  <c r="E8" i="33"/>
  <c r="I8" i="33"/>
  <c r="J8" i="33"/>
  <c r="K8" i="33" s="1"/>
  <c r="L8" i="30" s="1"/>
  <c r="M8" i="33"/>
  <c r="N8" i="33"/>
  <c r="A9" i="33"/>
  <c r="B9" i="33"/>
  <c r="C9" i="33"/>
  <c r="D9" i="33"/>
  <c r="E9" i="33"/>
  <c r="I9" i="33"/>
  <c r="J9" i="33"/>
  <c r="K9" i="33" s="1"/>
  <c r="L9" i="30" s="1"/>
  <c r="M9" i="33"/>
  <c r="N9" i="33"/>
  <c r="A10" i="33"/>
  <c r="B10" i="33"/>
  <c r="C10" i="33"/>
  <c r="D10" i="33"/>
  <c r="E10" i="33"/>
  <c r="I10" i="33"/>
  <c r="J10" i="33"/>
  <c r="K10" i="33" s="1"/>
  <c r="L10" i="30" s="1"/>
  <c r="M10" i="33"/>
  <c r="N10" i="33"/>
  <c r="A11" i="33"/>
  <c r="B11" i="33"/>
  <c r="C11" i="33"/>
  <c r="D11" i="33"/>
  <c r="E11" i="33"/>
  <c r="I11" i="33"/>
  <c r="J11" i="33"/>
  <c r="K11" i="33" s="1"/>
  <c r="L11" i="30" s="1"/>
  <c r="M11" i="33"/>
  <c r="N11" i="33"/>
  <c r="A12" i="33"/>
  <c r="B12" i="33"/>
  <c r="C12" i="33"/>
  <c r="D12" i="33"/>
  <c r="E12" i="33"/>
  <c r="I12" i="33"/>
  <c r="J12" i="33"/>
  <c r="K12" i="33" s="1"/>
  <c r="L12" i="30" s="1"/>
  <c r="M12" i="33"/>
  <c r="N12" i="33"/>
  <c r="A13" i="33"/>
  <c r="B13" i="33"/>
  <c r="C13" i="33"/>
  <c r="D13" i="33"/>
  <c r="E13" i="33"/>
  <c r="I13" i="33"/>
  <c r="J13" i="33"/>
  <c r="K13" i="33" s="1"/>
  <c r="L13" i="30" s="1"/>
  <c r="M13" i="33"/>
  <c r="N13" i="33"/>
  <c r="A14" i="33"/>
  <c r="B14" i="33"/>
  <c r="C14" i="33"/>
  <c r="D14" i="33"/>
  <c r="E14" i="33"/>
  <c r="I14" i="33"/>
  <c r="J14" i="33"/>
  <c r="K14" i="33" s="1"/>
  <c r="L14" i="30" s="1"/>
  <c r="M14" i="33"/>
  <c r="N14" i="33"/>
  <c r="A15" i="33"/>
  <c r="B15" i="33"/>
  <c r="C15" i="33"/>
  <c r="D15" i="33"/>
  <c r="E15" i="33"/>
  <c r="I15" i="33"/>
  <c r="J15" i="33"/>
  <c r="K15" i="33" s="1"/>
  <c r="L15" i="30" s="1"/>
  <c r="M15" i="33"/>
  <c r="N15" i="33"/>
  <c r="A16" i="33"/>
  <c r="B16" i="33"/>
  <c r="C16" i="33"/>
  <c r="D16" i="33"/>
  <c r="E16" i="33"/>
  <c r="I16" i="33"/>
  <c r="J16" i="33"/>
  <c r="K16" i="33" s="1"/>
  <c r="M16" i="33"/>
  <c r="N16" i="33"/>
  <c r="A17" i="33"/>
  <c r="B17" i="33"/>
  <c r="C17" i="33"/>
  <c r="D17" i="33"/>
  <c r="E17" i="33"/>
  <c r="I17" i="33"/>
  <c r="J17" i="33"/>
  <c r="K17" i="33" s="1"/>
  <c r="M17" i="33"/>
  <c r="N17" i="33"/>
  <c r="A18" i="33"/>
  <c r="B18" i="33"/>
  <c r="C18" i="33"/>
  <c r="D18" i="33"/>
  <c r="E18" i="33"/>
  <c r="I18" i="33"/>
  <c r="J18" i="33"/>
  <c r="K18" i="33" s="1"/>
  <c r="M18" i="33"/>
  <c r="N18" i="33"/>
  <c r="A19" i="33"/>
  <c r="B19" i="33"/>
  <c r="C19" i="33"/>
  <c r="D19" i="33"/>
  <c r="E19" i="33"/>
  <c r="I19" i="33"/>
  <c r="J19" i="33"/>
  <c r="K19" i="33" s="1"/>
  <c r="M19" i="33"/>
  <c r="N19" i="33"/>
  <c r="A20" i="33"/>
  <c r="B20" i="33"/>
  <c r="C20" i="33"/>
  <c r="D20" i="33"/>
  <c r="E20" i="33"/>
  <c r="I20" i="33"/>
  <c r="J20" i="33"/>
  <c r="K20" i="33" s="1"/>
  <c r="M20" i="33"/>
  <c r="N20" i="33"/>
  <c r="A21" i="33"/>
  <c r="B21" i="33"/>
  <c r="C21" i="33"/>
  <c r="D21" i="33"/>
  <c r="E21" i="33"/>
  <c r="I21" i="33"/>
  <c r="J21" i="33"/>
  <c r="K21" i="33" s="1"/>
  <c r="M21" i="33"/>
  <c r="N21" i="33"/>
  <c r="A22" i="33"/>
  <c r="B22" i="33"/>
  <c r="C22" i="33"/>
  <c r="D22" i="33"/>
  <c r="E22" i="33"/>
  <c r="I22" i="33"/>
  <c r="J22" i="33"/>
  <c r="K22" i="33" s="1"/>
  <c r="M22" i="33"/>
  <c r="N22" i="33"/>
  <c r="A23" i="33"/>
  <c r="B23" i="33"/>
  <c r="C23" i="33"/>
  <c r="D23" i="33"/>
  <c r="E23" i="33"/>
  <c r="I23" i="33"/>
  <c r="J23" i="33"/>
  <c r="K23" i="33"/>
  <c r="M23" i="33"/>
  <c r="N23" i="33"/>
  <c r="A24" i="33"/>
  <c r="B24" i="33"/>
  <c r="C24" i="33"/>
  <c r="D24" i="33"/>
  <c r="E24" i="33"/>
  <c r="I24" i="33"/>
  <c r="J24" i="33"/>
  <c r="K24" i="33"/>
  <c r="M24" i="33"/>
  <c r="N24" i="33"/>
  <c r="A25" i="33"/>
  <c r="B25" i="33"/>
  <c r="C25" i="33"/>
  <c r="D25" i="33"/>
  <c r="E25" i="33"/>
  <c r="I25" i="33"/>
  <c r="J25" i="33"/>
  <c r="K25" i="33"/>
  <c r="M25" i="33"/>
  <c r="N25" i="33"/>
  <c r="A26" i="33"/>
  <c r="B26" i="33"/>
  <c r="C26" i="33"/>
  <c r="D26" i="33"/>
  <c r="E26" i="33"/>
  <c r="I26" i="33"/>
  <c r="J26" i="33"/>
  <c r="K26" i="33"/>
  <c r="M26" i="33"/>
  <c r="N26" i="33"/>
  <c r="A27" i="33"/>
  <c r="B27" i="33"/>
  <c r="C27" i="33"/>
  <c r="D27" i="33"/>
  <c r="E27" i="33"/>
  <c r="I27" i="33"/>
  <c r="J27" i="33"/>
  <c r="K27" i="33"/>
  <c r="M27" i="33"/>
  <c r="N27" i="33"/>
  <c r="A4" i="30"/>
  <c r="C10" i="20" l="1"/>
  <c r="B11" i="20"/>
  <c r="C11" i="20" s="1"/>
  <c r="B12" i="20" s="1"/>
  <c r="C12" i="20" s="1"/>
  <c r="B13" i="20" s="1"/>
  <c r="C13" i="20" s="1"/>
  <c r="B14" i="20" s="1"/>
  <c r="C14" i="20" s="1"/>
  <c r="B16" i="20" s="1"/>
  <c r="J35" i="18" l="1"/>
  <c r="J34" i="18"/>
  <c r="J33" i="18"/>
  <c r="J32" i="18"/>
  <c r="J31" i="18"/>
  <c r="J30" i="18"/>
  <c r="J29" i="18"/>
  <c r="J28" i="18"/>
  <c r="J22" i="18"/>
  <c r="J16" i="18"/>
  <c r="J10" i="18"/>
  <c r="J9" i="18"/>
  <c r="G11" i="18"/>
  <c r="H11" i="18" s="1"/>
  <c r="H18" i="6"/>
  <c r="L18" i="6"/>
  <c r="P18" i="6"/>
  <c r="T18" i="6"/>
  <c r="X18" i="6"/>
  <c r="K7" i="18"/>
  <c r="K8" i="18" s="1"/>
  <c r="J11" i="18"/>
  <c r="J23" i="18"/>
  <c r="J12" i="18"/>
  <c r="J24" i="18"/>
  <c r="J15" i="18"/>
  <c r="J13" i="18"/>
  <c r="J25" i="18"/>
  <c r="J17" i="18"/>
  <c r="J14" i="18"/>
  <c r="J18" i="18"/>
  <c r="J27" i="18"/>
  <c r="J26" i="18"/>
  <c r="J19" i="18"/>
  <c r="J20" i="18"/>
  <c r="J21" i="18"/>
  <c r="K6" i="18" l="1"/>
  <c r="L7" i="18"/>
  <c r="M7" i="18" l="1"/>
  <c r="L8" i="18"/>
  <c r="M8" i="18" l="1"/>
  <c r="N7" i="18"/>
  <c r="N8" i="18" l="1"/>
  <c r="O7" i="18"/>
  <c r="O8" i="18" l="1"/>
  <c r="P7" i="18"/>
  <c r="Q7" i="18" l="1"/>
  <c r="P8" i="18"/>
  <c r="Q8" i="18" l="1"/>
  <c r="R7" i="18"/>
  <c r="R6" i="18" l="1"/>
  <c r="S7" i="18"/>
  <c r="R8" i="18"/>
  <c r="S8" i="18" l="1"/>
  <c r="T7" i="18"/>
  <c r="U7" i="18" l="1"/>
  <c r="T8" i="18"/>
  <c r="U8" i="18" l="1"/>
  <c r="V7" i="18"/>
  <c r="W7" i="18" l="1"/>
  <c r="V8" i="18"/>
  <c r="W8" i="18" l="1"/>
  <c r="X7" i="18"/>
  <c r="X8" i="18" l="1"/>
  <c r="Y7" i="18"/>
  <c r="Z7" i="18" l="1"/>
  <c r="Y8" i="18"/>
  <c r="Y6" i="18"/>
  <c r="Z8" i="18" l="1"/>
  <c r="AA7" i="18"/>
  <c r="AB7" i="18" l="1"/>
  <c r="AA8" i="18"/>
  <c r="AC7" i="18" l="1"/>
  <c r="AB8" i="18"/>
  <c r="AC8" i="18" l="1"/>
  <c r="AD7" i="18"/>
  <c r="AE7" i="18" l="1"/>
  <c r="AD8" i="18"/>
  <c r="AE8" i="18" l="1"/>
  <c r="AF7" i="18"/>
  <c r="AF6" i="18" l="1"/>
  <c r="AG7" i="18"/>
  <c r="AF8" i="18"/>
  <c r="AH7" i="18" l="1"/>
  <c r="AG8" i="18"/>
  <c r="AI7" i="18" l="1"/>
  <c r="AH8" i="18"/>
  <c r="AI8" i="18" l="1"/>
  <c r="AJ7" i="18"/>
  <c r="AK7" i="18" l="1"/>
  <c r="AJ8" i="18"/>
  <c r="AK8" i="18" l="1"/>
  <c r="AL7" i="18"/>
  <c r="AL8" i="18" l="1"/>
  <c r="AM7" i="18"/>
  <c r="AM6" i="18" l="1"/>
  <c r="AM8" i="18"/>
  <c r="AN7" i="18"/>
  <c r="AN8" i="18" l="1"/>
  <c r="AO7" i="18"/>
  <c r="AP7" i="18" l="1"/>
  <c r="AO8" i="18"/>
  <c r="AP8" i="18" l="1"/>
  <c r="AQ7" i="18"/>
  <c r="AR7" i="18" l="1"/>
  <c r="AQ8" i="18"/>
  <c r="AR8" i="18" l="1"/>
  <c r="AS7" i="18"/>
  <c r="AT7" i="18" l="1"/>
  <c r="AS8" i="18"/>
  <c r="AT6" i="18" l="1"/>
  <c r="AT8" i="18"/>
  <c r="AU7" i="18"/>
  <c r="AU8" i="18" l="1"/>
  <c r="AV7" i="18"/>
  <c r="AV8" i="18" l="1"/>
  <c r="AW7" i="18"/>
  <c r="AW8" i="18" l="1"/>
  <c r="AX7" i="18"/>
  <c r="AX8" i="18" l="1"/>
  <c r="AY7" i="18"/>
  <c r="AZ7" i="18" l="1"/>
  <c r="AY8" i="18"/>
  <c r="BA7" i="18" l="1"/>
  <c r="AZ8" i="18"/>
  <c r="BA6" i="18" l="1"/>
  <c r="BA8" i="18"/>
  <c r="BB7" i="18"/>
  <c r="BB8" i="18" l="1"/>
  <c r="BC7" i="18"/>
  <c r="BC8" i="18" l="1"/>
  <c r="BD7" i="18"/>
  <c r="BE7" i="18" l="1"/>
  <c r="BD8" i="18"/>
  <c r="BE8" i="18" l="1"/>
  <c r="BF7" i="18"/>
  <c r="BG7" i="18" l="1"/>
  <c r="BF8" i="18"/>
  <c r="BH7" i="18" l="1"/>
  <c r="BG8" i="18"/>
  <c r="BH6" i="18" l="1"/>
  <c r="BH8" i="18"/>
  <c r="BI7" i="18"/>
  <c r="BI8" i="18" l="1"/>
  <c r="BJ7" i="18"/>
  <c r="BJ8" i="18" l="1"/>
  <c r="BK7" i="18"/>
  <c r="BK8" i="18" l="1"/>
  <c r="BL7" i="18"/>
  <c r="BM7" i="18" l="1"/>
  <c r="BL8" i="18"/>
  <c r="BN7" i="18" l="1"/>
  <c r="BN8" i="18" s="1"/>
  <c r="BM8" i="18"/>
  <c r="C16" i="20"/>
  <c r="B17" i="20" s="1"/>
  <c r="C17" i="20" s="1"/>
  <c r="B18" i="20" s="1"/>
  <c r="C18" i="20" s="1"/>
  <c r="B20" i="20" s="1"/>
  <c r="C20" i="20"/>
  <c r="B21" i="20" s="1"/>
  <c r="C21" i="20" s="1"/>
  <c r="B22" i="20" s="1"/>
  <c r="C22" i="20" s="1"/>
  <c r="B23" i="20" s="1"/>
  <c r="C23" i="20" s="1"/>
  <c r="B24" i="20" s="1"/>
  <c r="C24" i="20" s="1"/>
  <c r="B26" i="20" s="1"/>
  <c r="C26" i="20" s="1"/>
  <c r="B27" i="20" s="1"/>
  <c r="C27" i="20" s="1"/>
  <c r="B29" i="20" s="1"/>
  <c r="C29" i="20" s="1"/>
  <c r="B30" i="20" s="1"/>
  <c r="C30" i="20" s="1"/>
  <c r="B31" i="20" s="1"/>
  <c r="C31" i="20" s="1"/>
  <c r="B33" i="20" s="1"/>
  <c r="C33" i="20" s="1"/>
  <c r="B34" i="20" s="1"/>
  <c r="C34" i="20" s="1"/>
  <c r="B35" i="20" l="1"/>
  <c r="C35" i="20" s="1"/>
</calcChain>
</file>

<file path=xl/sharedStrings.xml><?xml version="1.0" encoding="utf-8"?>
<sst xmlns="http://schemas.openxmlformats.org/spreadsheetml/2006/main" count="1473" uniqueCount="897">
  <si>
    <t>Ref</t>
  </si>
  <si>
    <t xml:space="preserve">Etapas – Atividades - </t>
  </si>
  <si>
    <t>Dependência</t>
  </si>
  <si>
    <t>Data Início</t>
  </si>
  <si>
    <t>Data Fim</t>
  </si>
  <si>
    <t>Duração em DIAS</t>
  </si>
  <si>
    <t>Responsável</t>
  </si>
  <si>
    <t>Início</t>
  </si>
  <si>
    <t>1.1</t>
  </si>
  <si>
    <t>Definição dos objetivos do projeto</t>
  </si>
  <si>
    <t>GERENTE DE PROJETO</t>
  </si>
  <si>
    <t>Pessoas</t>
  </si>
  <si>
    <t>Iniciação</t>
  </si>
  <si>
    <t>1.2</t>
  </si>
  <si>
    <t>Planejamento</t>
  </si>
  <si>
    <t>1.3</t>
  </si>
  <si>
    <t>Design e Prototipagem</t>
  </si>
  <si>
    <t>Desenvolvimento</t>
  </si>
  <si>
    <t>2.1</t>
  </si>
  <si>
    <t>Integração com sistemas de monitoramento de saúde</t>
  </si>
  <si>
    <t>2.2</t>
  </si>
  <si>
    <t>Testes</t>
  </si>
  <si>
    <t>2.3</t>
  </si>
  <si>
    <t>Avaliação e Aperfeiçoamento</t>
  </si>
  <si>
    <t>3.1.1</t>
  </si>
  <si>
    <t>3.1</t>
  </si>
  <si>
    <t>3.2</t>
  </si>
  <si>
    <t>3.2.1</t>
  </si>
  <si>
    <t>Pesquisa de usuário e jornada do cliente</t>
  </si>
  <si>
    <t>3.2.2</t>
  </si>
  <si>
    <t>Validação de usabilidade com stakeholders</t>
  </si>
  <si>
    <t>4.1</t>
  </si>
  <si>
    <t>4.1.2</t>
  </si>
  <si>
    <t>Implementação no SQLite</t>
  </si>
  <si>
    <t>4.2</t>
  </si>
  <si>
    <t>4.2.1</t>
  </si>
  <si>
    <t>4.2.2</t>
  </si>
  <si>
    <t>4.2.3</t>
  </si>
  <si>
    <t>5.1</t>
  </si>
  <si>
    <t>Infraestrutura</t>
  </si>
  <si>
    <t>5.2</t>
  </si>
  <si>
    <t>5.3</t>
  </si>
  <si>
    <t>6.1</t>
  </si>
  <si>
    <t>Teste de responsividade (desktop e mobile)</t>
  </si>
  <si>
    <t>Correção de bugs</t>
  </si>
  <si>
    <t>9.1.1</t>
  </si>
  <si>
    <t>10.1.1</t>
  </si>
  <si>
    <t>10.1.2</t>
  </si>
  <si>
    <t>10.1.3</t>
  </si>
  <si>
    <t>Iniciação e Planejamento</t>
  </si>
  <si>
    <t>Definição de objetivos, escopo e requisitos do projeto</t>
  </si>
  <si>
    <t>Reunião com patrocinadores e identificação de stakeholders e usuários</t>
  </si>
  <si>
    <t>Formação da equipe e definição de papéis</t>
  </si>
  <si>
    <t>Escolha de tecnologias, ferramentas e arquitetura do sistema</t>
  </si>
  <si>
    <t>Estruturação do cronograma, WBS, marcos e análise de riscos</t>
  </si>
  <si>
    <t>Criação do design UI/UX e definição dos fluxos de navegação</t>
  </si>
  <si>
    <t>PDI -Primeiro dia de início</t>
  </si>
  <si>
    <t>UDI - Último dia de início</t>
  </si>
  <si>
    <t>Desenvolvimento de protótipos visuais e validação com stakeholders</t>
  </si>
  <si>
    <t>PDT - Primeito dia de término</t>
  </si>
  <si>
    <t>UDT - Último dia de término</t>
  </si>
  <si>
    <t>Ajustes e refinamentos baseados em feedbacks</t>
  </si>
  <si>
    <t>FL-Folgas Livres</t>
  </si>
  <si>
    <t>É o caminho crítico</t>
  </si>
  <si>
    <t>Desenvolvimento e Integração</t>
  </si>
  <si>
    <t>FT-Folgas totais</t>
  </si>
  <si>
    <t>Modelagem de dados e implementação de banco de dados</t>
  </si>
  <si>
    <t>Desenvolvimento do back-end, front-end e APIs</t>
  </si>
  <si>
    <t>modelo</t>
  </si>
  <si>
    <t> </t>
  </si>
  <si>
    <t>Criação do dashboard (gráficos, métricas e relatórios)</t>
  </si>
  <si>
    <t>atividade</t>
  </si>
  <si>
    <t>duração</t>
  </si>
  <si>
    <t>Integração com sistemas externos e simulação de dados</t>
  </si>
  <si>
    <t>PDI</t>
  </si>
  <si>
    <t>PDT</t>
  </si>
  <si>
    <t>Implementação de funcionalidades inteligentes (IA, alertas e exportações)</t>
  </si>
  <si>
    <t>UDI</t>
  </si>
  <si>
    <t>UDT</t>
  </si>
  <si>
    <t>Testes e Validação</t>
  </si>
  <si>
    <t>FL</t>
  </si>
  <si>
    <t>FT</t>
  </si>
  <si>
    <t>Testes de funcionalidade, desempenho, segurança e responsividade</t>
  </si>
  <si>
    <t>Correção de bugs e ajustes finais antes do lançamento</t>
  </si>
  <si>
    <t>Lançamento e Pós-Lançamento</t>
  </si>
  <si>
    <t>Treinamento da equipe e apresentação ao público</t>
  </si>
  <si>
    <t>Documentação técnica e deploy do sistema</t>
  </si>
  <si>
    <t>Monitoramento de métricas e coleta de feedbacks</t>
  </si>
  <si>
    <t>Atualizações e melhorias contínuas</t>
  </si>
  <si>
    <t>Criação de materiais de divulgação e campanhas em mídias sociais</t>
  </si>
  <si>
    <t>Divulgação e Expansão</t>
  </si>
  <si>
    <t>Avaliação de resultados, novas parcerias e expansão do projeto</t>
  </si>
  <si>
    <t>Código</t>
  </si>
  <si>
    <t>Atividade</t>
  </si>
  <si>
    <t>Recursos Utilizados</t>
  </si>
  <si>
    <t>Duração (dias)</t>
  </si>
  <si>
    <t>Término</t>
  </si>
  <si>
    <t>Gabriel (Gerente de Projeto)</t>
  </si>
  <si>
    <t>Reuniões, Documentos, Google Drive, Miro</t>
  </si>
  <si>
    <t>16/08/2025</t>
  </si>
  <si>
    <t>Gabriel</t>
  </si>
  <si>
    <t>Documento de escopo, Google Docs</t>
  </si>
  <si>
    <t>18/08/2025</t>
  </si>
  <si>
    <t>Formação de equipe e definição de papéis</t>
  </si>
  <si>
    <t>Karol</t>
  </si>
  <si>
    <t>Planilha de equipe, Reunião inicial</t>
  </si>
  <si>
    <t>Levantamento de requisitos e stakeholders</t>
  </si>
  <si>
    <t>Gabriel e Cauã</t>
  </si>
  <si>
    <t>Formulários, Entrevistas, Miro</t>
  </si>
  <si>
    <t>Estruturação do cronograma e WBS</t>
  </si>
  <si>
    <t>Excel, ProjectLibre</t>
  </si>
  <si>
    <t>Levantamento de riscos e marcos de entrega</t>
  </si>
  <si>
    <t>Matheus</t>
  </si>
  <si>
    <t>Planilha de riscos, reuniões</t>
  </si>
  <si>
    <t>15/08/2025</t>
  </si>
  <si>
    <t>Cauã (Gerente de Comunicação)</t>
  </si>
  <si>
    <t>Figma, Canva, Google Forms</t>
  </si>
  <si>
    <t>28/08/2025</t>
  </si>
  <si>
    <t>Criação de protótipos UI/UX</t>
  </si>
  <si>
    <t>Cauã</t>
  </si>
  <si>
    <t>Figma, biblioteca de ícones</t>
  </si>
  <si>
    <t>19/08/2025</t>
  </si>
  <si>
    <t>Google Forms, entrevistas</t>
  </si>
  <si>
    <t>20/08/2025</t>
  </si>
  <si>
    <t>22/08/2025</t>
  </si>
  <si>
    <t>Reunião, feedbacks, Miro</t>
  </si>
  <si>
    <t>23/08/2025</t>
  </si>
  <si>
    <t>25/08/2025</t>
  </si>
  <si>
    <t>Ajustes e refinamentos pós-feedback</t>
  </si>
  <si>
    <t>Figma, relatórios de feedback</t>
  </si>
  <si>
    <t>26/08/2025</t>
  </si>
  <si>
    <t>VS Code, SQLite, React, GitHub</t>
  </si>
  <si>
    <t>29/08/2025</t>
  </si>
  <si>
    <t>23/09/2025</t>
  </si>
  <si>
    <t>Modelagem de dados e criação do modelo ER</t>
  </si>
  <si>
    <t>Draw.io, SQL Designer</t>
  </si>
  <si>
    <t>SQLite Studio, SQL scripts</t>
  </si>
  <si>
    <t>Desenvolvimento do Back-end e API</t>
  </si>
  <si>
    <t>Node.js, Express, Postman</t>
  </si>
  <si>
    <t>Desenvolvimento do Front-end (React)</t>
  </si>
  <si>
    <t>React, HTML/CSS, Vite</t>
  </si>
  <si>
    <t>17/09/2025</t>
  </si>
  <si>
    <t>Integração com sistemas e simulação de dados</t>
  </si>
  <si>
    <t>Python, datasets simulados</t>
  </si>
  <si>
    <t>18/09/2025</t>
  </si>
  <si>
    <t>21/09/2025</t>
  </si>
  <si>
    <t>Teste interno e correção de falhas básicas</t>
  </si>
  <si>
    <t>Equipe</t>
  </si>
  <si>
    <t>GitHub, logs de teste</t>
  </si>
  <si>
    <t>22/09/2025</t>
  </si>
  <si>
    <t>Testes e Lançamento Interno</t>
  </si>
  <si>
    <t>Karol (Gerente de RH)</t>
  </si>
  <si>
    <t>GitHub Pages, Navegadores, Documentação</t>
  </si>
  <si>
    <t>24/09/2025</t>
  </si>
  <si>
    <t>Ferramentas DevTools</t>
  </si>
  <si>
    <t>26/09/2025</t>
  </si>
  <si>
    <t>Teste de segurança e desempenho</t>
  </si>
  <si>
    <t>Postman, Lighthouse</t>
  </si>
  <si>
    <t>27/09/2025</t>
  </si>
  <si>
    <t>30/09/2025</t>
  </si>
  <si>
    <t>Gabriel e Matheus</t>
  </si>
  <si>
    <t>GitHub Issues</t>
  </si>
  <si>
    <t>Documentação técnica e hospedagem</t>
  </si>
  <si>
    <t>GitHub Pages, README.md</t>
  </si>
  <si>
    <t>Deploy interno e reunião de aprovação</t>
  </si>
  <si>
    <t>Google Meet, documentação</t>
  </si>
  <si>
    <t>Pós-lançamento e Marketing</t>
  </si>
  <si>
    <t>Canva, Instagram, PowerPoint</t>
  </si>
  <si>
    <t>21/10/2025</t>
  </si>
  <si>
    <t>Monitoramento de métricas e feedbacks</t>
  </si>
  <si>
    <t>Google Analytics, relatórios</t>
  </si>
  <si>
    <t>Criação de materiais de apresentação</t>
  </si>
  <si>
    <t>Canva, PowerPoint</t>
  </si>
  <si>
    <t>13/10/2025</t>
  </si>
  <si>
    <t>Treinamento da equipe e divulgação</t>
  </si>
  <si>
    <t>Google Meet, Slides</t>
  </si>
  <si>
    <t>14/10/2025</t>
  </si>
  <si>
    <t>16/10/2025</t>
  </si>
  <si>
    <t>Campanhas em mídias sociais</t>
  </si>
  <si>
    <t>Instagram Ads, Meta Business</t>
  </si>
  <si>
    <t>17/10/2025</t>
  </si>
  <si>
    <t>Avaliação e Expansão</t>
  </si>
  <si>
    <t>Matheus (Gerente Financeiro)</t>
  </si>
  <si>
    <t>Excel, Relatórios, Reuniões</t>
  </si>
  <si>
    <t>22/10/2025</t>
  </si>
  <si>
    <t>Análise de resultados e custos</t>
  </si>
  <si>
    <t>Planilhas, gráficos financeiros</t>
  </si>
  <si>
    <t>25/10/2025</t>
  </si>
  <si>
    <t>Identificação de oportunidades de melhoria</t>
  </si>
  <si>
    <t>Reuniões, feedbacks</t>
  </si>
  <si>
    <t>26/10/2025</t>
  </si>
  <si>
    <t>29/10/2025</t>
  </si>
  <si>
    <t>Planejamento de expansão e novas parcerias</t>
  </si>
  <si>
    <t>Cauã e Karol</t>
  </si>
  <si>
    <t>Reuniões externas, propostas</t>
  </si>
  <si>
    <t>30/10/2025</t>
  </si>
  <si>
    <t>Atualizações e novas implementações</t>
  </si>
  <si>
    <t>GitHub, documentação</t>
  </si>
  <si>
    <t>Etapa</t>
  </si>
  <si>
    <t>Objetivo da Comunicação</t>
  </si>
  <si>
    <t>Reunião de abertura do projeto</t>
  </si>
  <si>
    <t>Apresentar o escopo, objetivos e cronograma do projeto</t>
  </si>
  <si>
    <t>Apresentação do design e protótipos</t>
  </si>
  <si>
    <t>Validar identidade visual e fluxos de navegação com a equipe e stakeholders internos</t>
  </si>
  <si>
    <t>Público-Alvo</t>
  </si>
  <si>
    <t>Meio de Comunicação</t>
  </si>
  <si>
    <t>Frequência</t>
  </si>
  <si>
    <t>Recursos Necessários</t>
  </si>
  <si>
    <t>Stakeholders e equipe interna</t>
  </si>
  <si>
    <t>Reunião inicial (Google Meet e e-mail)</t>
  </si>
  <si>
    <t>Uma vez no início</t>
  </si>
  <si>
    <t>Computador, Google Meet, slides, e-mail</t>
  </si>
  <si>
    <t>Relatório de progresso técnico</t>
  </si>
  <si>
    <t>Atualizar status de desenvolvimento, desafios e entregas</t>
  </si>
  <si>
    <t>Equipe de design e comunicação</t>
  </si>
  <si>
    <t>Reuniões via Figma e Miro, e-mails de feedback</t>
  </si>
  <si>
    <t>A cada nova versão do protótipo</t>
  </si>
  <si>
    <t>Figma, Canva, Google Drive</t>
  </si>
  <si>
    <t>Divulgação de resultados dos testes internos</t>
  </si>
  <si>
    <t>Comunicar resultados dos testes e correções aplicadas</t>
  </si>
  <si>
    <t>Equipe técnica e gerente de projeto</t>
  </si>
  <si>
    <t>Reuniões semanais e relatórios no Google Docs</t>
  </si>
  <si>
    <t>Semanalmente</t>
  </si>
  <si>
    <t>VS Code, GitHub, Google Docs</t>
  </si>
  <si>
    <t>Campanha de divulgação nas redes sociais</t>
  </si>
  <si>
    <t>Promover o projeto e aumentar o alcance do público externo</t>
  </si>
  <si>
    <t>Equipe de desenvolvimento e RH</t>
  </si>
  <si>
    <t>Reuniões e planilhas compartilhadas</t>
  </si>
  <si>
    <t>Após cada rodada de testes</t>
  </si>
  <si>
    <t>15/10/2025</t>
  </si>
  <si>
    <t>GitHub, planilhas, relatórios</t>
  </si>
  <si>
    <t>Relatório final e reunião de resultados</t>
  </si>
  <si>
    <t>Apresentar métricas de desempenho e oportunidades de melhoria</t>
  </si>
  <si>
    <t>Público externo e parceiros</t>
  </si>
  <si>
    <t>Redes sociais, e-mail marketing, apresentações</t>
  </si>
  <si>
    <t>1 semana após o lançamento</t>
  </si>
  <si>
    <t>31/10/2025</t>
  </si>
  <si>
    <t>Canva, Instagram, PowerPoint, Meta Ads</t>
  </si>
  <si>
    <t>Stakeholders e equipe de projeto</t>
  </si>
  <si>
    <t>Reunião final e dashboards de resultados</t>
  </si>
  <si>
    <t>Mensalmente até o encerramento</t>
  </si>
  <si>
    <t>Planilhas, Google Analytics, dashboards</t>
  </si>
  <si>
    <t>Descrição do Custo</t>
  </si>
  <si>
    <t>Tipo de Custo</t>
  </si>
  <si>
    <t>Valor Estimado (R$)</t>
  </si>
  <si>
    <t>Valor Realizado (R$)</t>
  </si>
  <si>
    <t>Data Término</t>
  </si>
  <si>
    <t>Status</t>
  </si>
  <si>
    <t>Observações</t>
  </si>
  <si>
    <t>Reuniões iniciais, elaboração de documentos e registro do projeto</t>
  </si>
  <si>
    <t>Administrativo</t>
  </si>
  <si>
    <t>Concluído</t>
  </si>
  <si>
    <t>Google Meet, Office 365, Coffee break</t>
  </si>
  <si>
    <t>Reuniões com stakeholders e patrocinadores</t>
  </si>
  <si>
    <t>Definição de Requisitos</t>
  </si>
  <si>
    <t>Mapeamento de funcionalidades e levantamento técnico</t>
  </si>
  <si>
    <t>Técnico</t>
  </si>
  <si>
    <t>Google Docs, Miro, Notion</t>
  </si>
  <si>
    <t>Documentos de escopo e backlog do projeto</t>
  </si>
  <si>
    <t>Design UI/UX</t>
  </si>
  <si>
    <t>Criação de identidade visual, wireframes e protótipos</t>
  </si>
  <si>
    <t>Ferramentas de Design</t>
  </si>
  <si>
    <t>31/08/2025</t>
  </si>
  <si>
    <t>Figma Pro, Canva Premium, Google Drive</t>
  </si>
  <si>
    <t>Foram feitos 2 ciclos de feedback</t>
  </si>
  <si>
    <t>Desenvolvimento Back-end</t>
  </si>
  <si>
    <t>Criação de APIs, autenticação e banco de dados</t>
  </si>
  <si>
    <t>Tecnologia</t>
  </si>
  <si>
    <t>20/09/2025</t>
  </si>
  <si>
    <t>Em andamento</t>
  </si>
  <si>
    <t>SQLite, Node.js, VS Code, GitHub</t>
  </si>
  <si>
    <t>Integração com módulo de métricas</t>
  </si>
  <si>
    <t>Desenvolvimento Front-end</t>
  </si>
  <si>
    <t>Criação de dashboard e componentes interativos</t>
  </si>
  <si>
    <t>15/09/2025</t>
  </si>
  <si>
    <t>25/09/2025</t>
  </si>
  <si>
    <t>React.js, Tailwind, Recharts, Canva</t>
  </si>
  <si>
    <t>Integração parcial com API</t>
  </si>
  <si>
    <t>Testes Funcionais e de Segurança</t>
  </si>
  <si>
    <t>Testes de interface, desempenho e vulnerabilidades</t>
  </si>
  <si>
    <t>QA e Infra</t>
  </si>
  <si>
    <t>Planejado</t>
  </si>
  <si>
    <t>Postman, Jest, OWASP Scanner</t>
  </si>
  <si>
    <t>Testes com usuários internos</t>
  </si>
  <si>
    <t>Lançamento e Documentação</t>
  </si>
  <si>
    <t>Deploy do sistema e manual de uso</t>
  </si>
  <si>
    <t>Tecnologia / Comunicação</t>
  </si>
  <si>
    <t>GitHub Pages, Google Docs</t>
  </si>
  <si>
    <t>Deploy interno para stakeholders</t>
  </si>
  <si>
    <t>Marketing e Divulgação</t>
  </si>
  <si>
    <t>Criação de campanhas e material de apresentação</t>
  </si>
  <si>
    <t>Marketing</t>
  </si>
  <si>
    <t>Canva, Meta Ads, Instagram, PowerPoint</t>
  </si>
  <si>
    <t>Divulgação do lançamento do sistema</t>
  </si>
  <si>
    <t>Treinamentos e RH</t>
  </si>
  <si>
    <t>Onboarding e treinamento da equipe</t>
  </si>
  <si>
    <t>Recursos Humanos</t>
  </si>
  <si>
    <t>20/10/2025</t>
  </si>
  <si>
    <t>Google Meet, PDFs, vídeos explicativos</t>
  </si>
  <si>
    <t>Cursos rápidos de suporte ao sistema</t>
  </si>
  <si>
    <t>Encerramento e Avaliação</t>
  </si>
  <si>
    <t>Reunião final e relatórios financeiros</t>
  </si>
  <si>
    <t>Financeiro</t>
  </si>
  <si>
    <t>Pendente</t>
  </si>
  <si>
    <t>Excel, Google Sheets, Apresentação final</t>
  </si>
  <si>
    <t>Fechamento de custos e lições aprendidas</t>
  </si>
  <si>
    <t>Categoria</t>
  </si>
  <si>
    <t>Descrição</t>
  </si>
  <si>
    <t>Orçado (R$)</t>
  </si>
  <si>
    <t>Realizado (R$)</t>
  </si>
  <si>
    <t>Diferença (R$)</t>
  </si>
  <si>
    <t>% Execução</t>
  </si>
  <si>
    <t>Justificativa</t>
  </si>
  <si>
    <t>Documentos, reuniões e ferramentas iniciais</t>
  </si>
  <si>
    <t>Menor gasto com locação de sala</t>
  </si>
  <si>
    <t>Requisitos e Design</t>
  </si>
  <si>
    <t>Definição de requisitos e design visual</t>
  </si>
  <si>
    <t>Upgrade para Figma Pro e feedback extra</t>
  </si>
  <si>
    <t>APIs, front-end e integrações</t>
  </si>
  <si>
    <t>Pequenos ajustes no servidor</t>
  </si>
  <si>
    <t>Testes e Segurança</t>
  </si>
  <si>
    <t>Testes automatizados e infraestrutura</t>
  </si>
  <si>
    <t>Testes concluídos antes do previsto</t>
  </si>
  <si>
    <t>Campanhas digitais e materiais visuais</t>
  </si>
  <si>
    <t>Maior investimento em anúncios pagos</t>
  </si>
  <si>
    <t>Treinamento e capacitação da equipe</t>
  </si>
  <si>
    <t>Parte do treinamento foi assíncrono</t>
  </si>
  <si>
    <t>Encerramento e Relatórios</t>
  </si>
  <si>
    <t>Reunião de fechamento e documentação</t>
  </si>
  <si>
    <t>Otimização dos custos de impressão</t>
  </si>
  <si>
    <t>Total Geral</t>
  </si>
  <si>
    <t>-</t>
  </si>
  <si>
    <t>Pequena economia geral no orçamento</t>
  </si>
  <si>
    <t>Em execução</t>
  </si>
  <si>
    <t>ID</t>
  </si>
  <si>
    <t>Risco</t>
  </si>
  <si>
    <t>Probabilidade (1-5)</t>
  </si>
  <si>
    <t>Impacto (1-5)</t>
  </si>
  <si>
    <t>Nível de Risco (P x I)</t>
  </si>
  <si>
    <t>Classificação</t>
  </si>
  <si>
    <t>Ação Preventiva</t>
  </si>
  <si>
    <t>Ação Corretiva</t>
  </si>
  <si>
    <t>R1</t>
  </si>
  <si>
    <t>Atraso na entrega do front-end</t>
  </si>
  <si>
    <t>Alto</t>
  </si>
  <si>
    <t>Revisar cronograma semanal</t>
  </si>
  <si>
    <t>Redistribuir tarefas entre equipe</t>
  </si>
  <si>
    <t>Ativo</t>
  </si>
  <si>
    <t>R2</t>
  </si>
  <si>
    <t>Falhas no banco de dados</t>
  </si>
  <si>
    <t>Backup diário e testes automatizados</t>
  </si>
  <si>
    <t>Recuperação de dados e correção de script</t>
  </si>
  <si>
    <t>Controlado</t>
  </si>
  <si>
    <t>R3</t>
  </si>
  <si>
    <t>Falta de engajamento da equipe</t>
  </si>
  <si>
    <t>Médio</t>
  </si>
  <si>
    <t>Reuniões motivacionais e feedbacks</t>
  </si>
  <si>
    <t>Reforçar comunicação e redefinir metas</t>
  </si>
  <si>
    <t>Monitorado</t>
  </si>
  <si>
    <t>R4</t>
  </si>
  <si>
    <t>Problemas de comunicação com stakeholders</t>
  </si>
  <si>
    <t>Calendário fixo de reuniões</t>
  </si>
  <si>
    <t>E-mails e relatórios semanais</t>
  </si>
  <si>
    <t>R5</t>
  </si>
  <si>
    <t>Orçamento estourado</t>
  </si>
  <si>
    <t>Avaliar gastos antes da execução</t>
  </si>
  <si>
    <t>Revisão orçamentária</t>
  </si>
  <si>
    <t>Em observação</t>
  </si>
  <si>
    <t>R6</t>
  </si>
  <si>
    <t>Falhas em campanhas de marketing</t>
  </si>
  <si>
    <t>Teste A/B de campanhas</t>
  </si>
  <si>
    <t>Revisão de conteúdo e estratégia</t>
  </si>
  <si>
    <t>R7</t>
  </si>
  <si>
    <t>Perda de documentos técnicos</t>
  </si>
  <si>
    <t>Backup na nuvem</t>
  </si>
  <si>
    <t>Gerenciamento via Google Drive</t>
  </si>
  <si>
    <t>R8</t>
  </si>
  <si>
    <t>Rotatividade de membros</t>
  </si>
  <si>
    <t>Documentação e plano de substituição</t>
  </si>
  <si>
    <t>Treinamento rápido e integração</t>
  </si>
  <si>
    <t>Ação Preventiva / Mitigadora</t>
  </si>
  <si>
    <t>Resultado</t>
  </si>
  <si>
    <t>Data</t>
  </si>
  <si>
    <t>Falha na comunicação entre membros</t>
  </si>
  <si>
    <t>Implantação de reuniões semanais e uso de Google Chat</t>
  </si>
  <si>
    <t>Comunicação estruturada e alinhamento melhorado</t>
  </si>
  <si>
    <t>Resolvido</t>
  </si>
  <si>
    <t>Atraso na definição do escopo</t>
  </si>
  <si>
    <t>Reunião extra com o patrocinador e priorização de entregas</t>
  </si>
  <si>
    <t>Escopo fechado dentro do prazo</t>
  </si>
  <si>
    <t>Retrabalho por divergência entre design e usabilidade</t>
  </si>
  <si>
    <t>Validação dos protótipos com stakeholders</t>
  </si>
  <si>
    <t>Redução de retrabalho em 60%</t>
  </si>
  <si>
    <t>Atrasos no feedback dos stakeholders</t>
  </si>
  <si>
    <t>Definição de prazos fixos de retorno e acompanhamento</t>
  </si>
  <si>
    <t>Atrasos pontuais, sem impacto no cronograma</t>
  </si>
  <si>
    <t>Em monitoramento</t>
  </si>
  <si>
    <t>Falhas na integração entre front-end e back-end</t>
  </si>
  <si>
    <t>Testes unitários e reuniões técnicas diárias</t>
  </si>
  <si>
    <t>Erros críticos reduzidos em 80%</t>
  </si>
  <si>
    <t>Sobrecarga de tarefas sobre o gerente técnico</t>
  </si>
  <si>
    <t>Redistribuição de atividades e replanejamento</t>
  </si>
  <si>
    <t>Redução da sobrecarga e manutenção do prazo</t>
  </si>
  <si>
    <t>Instabilidade do ambiente de desenvolvimento</t>
  </si>
  <si>
    <t>Migração do servidor local para AWS gratuita</t>
  </si>
  <si>
    <t>Estabilidade aumentada e tempo de resposta reduzido em 35%</t>
  </si>
  <si>
    <t>Testes e Lançamento</t>
  </si>
  <si>
    <t>Vulnerabilidades na autenticação de usuários</t>
  </si>
  <si>
    <t>Revisão de segurança e criptografia</t>
  </si>
  <si>
    <t>Falha eliminada e sistema aprovado</t>
  </si>
  <si>
    <t>28/09/2025</t>
  </si>
  <si>
    <t>Falta de tempo hábil para correções</t>
  </si>
  <si>
    <t>Ampliação da equipe temporária de QA</t>
  </si>
  <si>
    <t>Correções concluídas com antecedência</t>
  </si>
  <si>
    <t>Marketing e Pós-lançamento</t>
  </si>
  <si>
    <t>Baixo engajamento das campanhas digitais</t>
  </si>
  <si>
    <t>Ajuste de público-alvo e novas estratégias</t>
  </si>
  <si>
    <t>Engajamento aumentado em 22%</t>
  </si>
  <si>
    <t>Dificuldade na coleta de feedbacks</t>
  </si>
  <si>
    <t>Criação de formulário online no dashboard</t>
  </si>
  <si>
    <t>Mais de 50 respostas coletadas em 48h</t>
  </si>
  <si>
    <t>Custo das campanhas superior ao previsto</t>
  </si>
  <si>
    <t>Replanejamento orçamentário e realocação de verba</t>
  </si>
  <si>
    <t>Impacto financeiro reduzido a 4,6%</t>
  </si>
  <si>
    <t>Saúde e bem-estar na palma da sua mão</t>
  </si>
  <si>
    <t>Insira o nome do Líder do projeto na célula B3. Insira a data de Início do projeto na célula E3. Início do projeto: o rótulo está na célula C3.</t>
  </si>
  <si>
    <t>Líder do projeto:
Gerente de Projeto</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</si>
  <si>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</si>
  <si>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</si>
  <si>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</si>
  <si>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</si>
  <si>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</si>
  <si>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</si>
  <si>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</si>
  <si>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</si>
  <si>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</si>
  <si>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</si>
  <si>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</si>
  <si>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</si>
  <si>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</si>
  <si>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</si>
  <si>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Definir os objetivos do aplicativo e sua proposta de valor</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</si>
  <si>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</si>
  <si>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Tarefa 2</t>
  </si>
  <si>
    <t>Tarefa 3</t>
  </si>
  <si>
    <t>Tarefa 4</t>
  </si>
  <si>
    <t>Tarefa 5</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</si>
  <si>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</si>
  <si>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Título Fase 2</t>
  </si>
  <si>
    <t>Tarefa 1</t>
  </si>
  <si>
    <t>Bloco de título de fase de exemplo</t>
  </si>
  <si>
    <t>Título Fase 3</t>
  </si>
  <si>
    <t>Título Fase 4</t>
  </si>
  <si>
    <t>data</t>
  </si>
  <si>
    <t>Esta é uma linha vazia</t>
  </si>
  <si>
    <t>Esta linha marca o final do Cronograma do projeto. NÃO insira nada nessa linha. 
Insira novas linhas ACIMA desta linha para continuar a construção do cronograma de projeto.</t>
  </si>
  <si>
    <t>Insira novas linhas ACIMA desta</t>
  </si>
  <si>
    <t>Soma de Custos</t>
  </si>
  <si>
    <t>Total</t>
  </si>
  <si>
    <t>Formar uma equipe de desenvolvimento e design</t>
  </si>
  <si>
    <t>Identificar as principais funcionalidades e recursos a serem incluídos</t>
  </si>
  <si>
    <t>DESIGN</t>
  </si>
  <si>
    <t>Realizar o design da interface do usuário (UI)</t>
  </si>
  <si>
    <t>Definir os requisitos detalhados do aplicativo (escopo)</t>
  </si>
  <si>
    <t>(vazio)</t>
  </si>
  <si>
    <t>DESEMPENHO</t>
  </si>
  <si>
    <t>Realizar análises regulares sobre o desempenho do aplicativo</t>
  </si>
  <si>
    <t>COMERCIAL</t>
  </si>
  <si>
    <t>Explorar parcerias com empresas relacionadas à saúde e bem-estar</t>
  </si>
  <si>
    <t>Avaliar a possibilidade de oferecer versões premium ou modelos de assinatura</t>
  </si>
  <si>
    <t>Realizar uma análise de mercado para entender concorrentes e demandas</t>
  </si>
  <si>
    <t>Criar um cronograma detalhado com marcos e prazos</t>
  </si>
  <si>
    <t>Dicas de saúde e bem-estar</t>
  </si>
  <si>
    <t>2.2.1</t>
  </si>
  <si>
    <t>2.2.4</t>
  </si>
  <si>
    <t>Mapas com locais de academias e parques</t>
  </si>
  <si>
    <t>2.2.3</t>
  </si>
  <si>
    <t>Planos de exercícios físicos personalizados</t>
  </si>
  <si>
    <t>2.2.2</t>
  </si>
  <si>
    <t>Navegação simples entre as funcionalidades</t>
  </si>
  <si>
    <t>Criar protótipos interativos para validar o fluxo de usuário</t>
  </si>
  <si>
    <t>3.1.2</t>
  </si>
  <si>
    <t xml:space="preserve"> Experiência do usuário (UX)</t>
  </si>
  <si>
    <t>Interface limpa e intuitiva</t>
  </si>
  <si>
    <t>Teste de UI / UX</t>
  </si>
  <si>
    <t>DESENVOLVIMENTO</t>
  </si>
  <si>
    <t>Desenvolver a estrutura do aplicativo</t>
  </si>
  <si>
    <t>Front-end: Interface do usuário e interações</t>
  </si>
  <si>
    <t>Implementar as funcionalidades principais</t>
  </si>
  <si>
    <t>Módulo de dicas de saúde</t>
  </si>
  <si>
    <t>Gerador de planos de exercícios</t>
  </si>
  <si>
    <t>Integração com APIs de mapas para localização de academias e parques</t>
  </si>
  <si>
    <t>SEGURANÇA</t>
  </si>
  <si>
    <t>Integrar o aplicativo com sistemas de monitoramento de saúde, como dispositivos wearable ou aplicativos de rastreamento</t>
  </si>
  <si>
    <t>Garantir a segurança e privacidade dos dados do usuário</t>
  </si>
  <si>
    <t>Testar a integração para assegurar que os dados são sincronizados corretamente</t>
  </si>
  <si>
    <t>QUALIDADE</t>
  </si>
  <si>
    <t>Realizar testes de qualidade e desempenho em diversas plataformas (iOS, Android)</t>
  </si>
  <si>
    <t>6.1.2</t>
  </si>
  <si>
    <t>UX</t>
  </si>
  <si>
    <t>Testar a usabilidade do aplicativo com usuários reais</t>
  </si>
  <si>
    <t>6.1.3</t>
  </si>
  <si>
    <t>Identificar e corrigir bugs e problemas de interface</t>
  </si>
  <si>
    <t>7.1.1</t>
  </si>
  <si>
    <t>REDES</t>
  </si>
  <si>
    <t>Preparar a infraestrutura para o lançamento nas lojas de aplicativos (App Store, Google Play)</t>
  </si>
  <si>
    <t>7.1.2</t>
  </si>
  <si>
    <t>Criar materiais de marketing, como vídeos promocionais e descrições claras</t>
  </si>
  <si>
    <t>7.1.3</t>
  </si>
  <si>
    <t>Submeter o aplicativo para revisão nas lojas de aplicativos</t>
  </si>
  <si>
    <t>8.1.1</t>
  </si>
  <si>
    <t>EQUIPE TÉCNICA</t>
  </si>
  <si>
    <t>Monitorar o feedback dos usuários e analisar métricas de uso</t>
  </si>
  <si>
    <t>8.1.2</t>
  </si>
  <si>
    <t>Realizar atualizações periódicas para adicionar novas funcionalidades e melhorias</t>
  </si>
  <si>
    <t>8.1.3</t>
  </si>
  <si>
    <t>Oferecer suporte ao cliente para solucionar problemas e responder dúvidas</t>
  </si>
  <si>
    <t>Criar estratégias de marketing digital para aumentar a visibilidade do aplicativo</t>
  </si>
  <si>
    <t>9.1.2</t>
  </si>
  <si>
    <t>Colaborar com influenciadores de saúde e bem-estar para promoção</t>
  </si>
  <si>
    <t>9.1.3</t>
  </si>
  <si>
    <t>Realizar campanhas de mídia social e anúncios online</t>
  </si>
  <si>
    <t>Lançamento</t>
  </si>
  <si>
    <t>Pós-lançamento</t>
  </si>
  <si>
    <t>5.2. CRONOGRAMA DE CUSTOS</t>
  </si>
  <si>
    <t>Etapas – Atividades - Marcos</t>
  </si>
  <si>
    <t>Agosto</t>
  </si>
  <si>
    <t>Setembro</t>
  </si>
  <si>
    <t>Outubro</t>
  </si>
  <si>
    <t>Novembro</t>
  </si>
  <si>
    <t>Dezembro</t>
  </si>
  <si>
    <t>Janeiro</t>
  </si>
  <si>
    <t>Plano do Projeto</t>
  </si>
  <si>
    <t>Controle</t>
  </si>
  <si>
    <t>Fechamento</t>
  </si>
  <si>
    <t>Adequar o Espaço Físico</t>
  </si>
  <si>
    <t>Equipamentos de Ginástica</t>
  </si>
  <si>
    <t>Equipamentos de Apoio e Administração</t>
  </si>
  <si>
    <t>Contratar Mão de Obra</t>
  </si>
  <si>
    <t>Contratar empresa para informatização da academia</t>
  </si>
  <si>
    <t>Adquirir Sistemas de Segurança</t>
  </si>
  <si>
    <t>Fechar Convênio com Estacionamento próximo ao local</t>
  </si>
  <si>
    <t>5.4</t>
  </si>
  <si>
    <t>Contratação de Designer de Interiores</t>
  </si>
  <si>
    <t>Isolamento do serviço afetado</t>
  </si>
  <si>
    <t>SCA/SAST, política de atualização</t>
  </si>
  <si>
    <t>Mitigar</t>
  </si>
  <si>
    <t>Patch management emergencial</t>
  </si>
  <si>
    <t>Incidente de segurança e parada</t>
  </si>
  <si>
    <t>Exploração de vulnerabilidades</t>
  </si>
  <si>
    <t>Dependências desatualizadas</t>
  </si>
  <si>
    <t xml:space="preserve"> Vulnerabilidade</t>
  </si>
  <si>
    <t>Dev</t>
  </si>
  <si>
    <t>R15</t>
  </si>
  <si>
    <t>Failover automático e comunicação</t>
  </si>
  <si>
    <t>Redundância multi-ISP, health checks</t>
  </si>
  <si>
    <t>Transferir</t>
  </si>
  <si>
    <t>Redirecionar tráfego para link backup</t>
  </si>
  <si>
    <t>Parada de operação e SLA</t>
  </si>
  <si>
    <t>Indisponibilidade do ambiente</t>
  </si>
  <si>
    <t>Dependência de link, ISP único</t>
  </si>
  <si>
    <t>Disponibilidade</t>
  </si>
  <si>
    <t>Conectividade</t>
  </si>
  <si>
    <t>R14</t>
  </si>
  <si>
    <t>Comitê de crise semanal</t>
  </si>
  <si>
    <t>Cadência de governança, RACI</t>
  </si>
  <si>
    <t>Ritual extraordinário de alinhamento</t>
  </si>
  <si>
    <t>Atrasos e perda de foco</t>
  </si>
  <si>
    <t>Decisões conflitantes e retrabalho</t>
  </si>
  <si>
    <t>Falhas de alinhamento entre times</t>
  </si>
  <si>
    <t>Comunicação</t>
  </si>
  <si>
    <t>R13</t>
  </si>
  <si>
    <t>Plano de reversão na janela</t>
  </si>
  <si>
    <t>Ensaios de migração; validação amostral</t>
  </si>
  <si>
    <t>Rollback parcial e correção dirigida</t>
  </si>
  <si>
    <t>Interrupções e retrabalho</t>
  </si>
  <si>
    <t>Erros operacionais pós-go-live</t>
  </si>
  <si>
    <t>Inconsistências na migração</t>
  </si>
  <si>
    <t>Qualidade de Dados</t>
  </si>
  <si>
    <t>Dados</t>
  </si>
  <si>
    <t>R12</t>
  </si>
  <si>
    <t>Suporte dedicado temporário</t>
  </si>
  <si>
    <t>Trilhas de treinamento; materiais práticos</t>
  </si>
  <si>
    <t>Capacitação extra pós-go-live</t>
  </si>
  <si>
    <t>Queda de valor percebido</t>
  </si>
  <si>
    <t>Baixa adoção do sistema</t>
  </si>
  <si>
    <t>Capacitação insuficiente dos usuários</t>
  </si>
  <si>
    <t>Falta de Habilidade</t>
  </si>
  <si>
    <t>Treinamento</t>
  </si>
  <si>
    <t>R11</t>
  </si>
  <si>
    <t>CDN/cache; feature flags</t>
  </si>
  <si>
    <t>Testes de carga; auto-scaling</t>
  </si>
  <si>
    <t>Escalar recursos; otimização</t>
  </si>
  <si>
    <t>SLA violado e insatisfação</t>
  </si>
  <si>
    <t>Degradação de performance</t>
  </si>
  <si>
    <t>Capacidade insuficiente de ambiente</t>
  </si>
  <si>
    <t>Desempenho</t>
  </si>
  <si>
    <t>R10</t>
  </si>
  <si>
    <t>Sprint de correção focada</t>
  </si>
  <si>
    <t>DoR/DoD, protótipos validáveis</t>
  </si>
  <si>
    <t>Refinamento com usuários e correções dirigidas</t>
  </si>
  <si>
    <t>Retrabalho e baixa adoção</t>
  </si>
  <si>
    <t>Entregas fora da necessidade do usuário</t>
  </si>
  <si>
    <t>Requisitos ambíguos</t>
  </si>
  <si>
    <t>Escopo</t>
  </si>
  <si>
    <t>Requisitos</t>
  </si>
  <si>
    <t>R09</t>
  </si>
  <si>
    <t>Isolamento do ambiente, rotação de credenciais</t>
  </si>
  <si>
    <t>Anonimização, RBAC, hardening</t>
  </si>
  <si>
    <t>Acionar resposta a incidentes; notificar DPO</t>
  </si>
  <si>
    <t>Sanções e danos reputacionais</t>
  </si>
  <si>
    <t>Vazamento de dados</t>
  </si>
  <si>
    <t>Dados reais em testes; acessos excessivos</t>
  </si>
  <si>
    <t>Segurança da Informação</t>
  </si>
  <si>
    <t>Segurança</t>
  </si>
  <si>
    <t>R08</t>
  </si>
  <si>
    <t>Task force para adequação urgente</t>
  </si>
  <si>
    <t>Checklist jurídico, auditorias internas</t>
  </si>
  <si>
    <t>Evitar</t>
  </si>
  <si>
    <t>Bloquear release até conformidade</t>
  </si>
  <si>
    <t>Retrabalho e risco reputacional</t>
  </si>
  <si>
    <t>Não conformidade regulatória</t>
  </si>
  <si>
    <t>Interpretação tardia de requisitos</t>
  </si>
  <si>
    <t>Compliance</t>
  </si>
  <si>
    <t>Conformidade</t>
  </si>
  <si>
    <t>R07</t>
  </si>
  <si>
    <t>Fatiar entregas; MVP</t>
  </si>
  <si>
    <t>Critérios de aceite, timebox</t>
  </si>
  <si>
    <t>Acionar CCB e repriorizar backlog</t>
  </si>
  <si>
    <t>Pressão em prazo e custo</t>
  </si>
  <si>
    <t>Aumento de escopo</t>
  </si>
  <si>
    <t>Novas demandas</t>
  </si>
  <si>
    <t>Expectativas</t>
  </si>
  <si>
    <t xml:space="preserve"> Escopo</t>
  </si>
  <si>
    <t>R06</t>
  </si>
  <si>
    <t>Stub/mocks temporários</t>
  </si>
  <si>
    <t xml:space="preserve"> Acordos de SLA/multa, plano alternativo</t>
  </si>
  <si>
    <t>Paralelizar tarefas independentes</t>
  </si>
  <si>
    <t>Bloqueio de integrações e marcos</t>
  </si>
  <si>
    <t>Atraso em componentes de integração</t>
  </si>
  <si>
    <t>SLA de terceiro apertado</t>
  </si>
  <si>
    <t>Integrações</t>
  </si>
  <si>
    <t>R05</t>
  </si>
  <si>
    <t>Banco de horas, contratação temporária</t>
  </si>
  <si>
    <t>Plano de backup, documentação; pareamento</t>
  </si>
  <si>
    <t>Replanejar sprints e redistribuir tarefas</t>
  </si>
  <si>
    <t>Queda de produtividade e atrasos</t>
  </si>
  <si>
    <t>Indisponibilidade de recursos-chave</t>
  </si>
  <si>
    <t>Ausências e rotatividade</t>
  </si>
  <si>
    <t>Ausência</t>
  </si>
  <si>
    <t>R04</t>
  </si>
  <si>
    <t>Hotfixes priorizados, war room</t>
  </si>
  <si>
    <t>Plano de testes por risco; automação</t>
  </si>
  <si>
    <t>Gate Go/No-Go até sanar defeitos críticos</t>
  </si>
  <si>
    <t>Retrabalho e custos adicionais</t>
  </si>
  <si>
    <t>Defeitos críticos em produção</t>
  </si>
  <si>
    <t>Janela de testes comprimida</t>
  </si>
  <si>
    <t>Qualidade</t>
  </si>
  <si>
    <t>R03</t>
  </si>
  <si>
    <t>Troca de fornecedor/escopo alternativo</t>
  </si>
  <si>
    <t>Cláusulas de teto, múltiplas cotações</t>
  </si>
  <si>
    <t>Repriorizar entregas, acionar reserva gerencial</t>
  </si>
  <si>
    <t>Redução de escopo e contingenciamento</t>
  </si>
  <si>
    <t>Estouro de orçamento</t>
  </si>
  <si>
    <t>Reajustes contratuais e variação cambial</t>
  </si>
  <si>
    <t>Custo</t>
  </si>
  <si>
    <t>Fornecedores</t>
  </si>
  <si>
    <t>R02</t>
  </si>
  <si>
    <t>Baixo - 4</t>
  </si>
  <si>
    <t>Alta - 4</t>
  </si>
  <si>
    <t>Atraso no projeto e aumento nos custos</t>
  </si>
  <si>
    <t>Alocação temporária de terceiros</t>
  </si>
  <si>
    <t>Pipeline de candidatos ,onboarding antecipado</t>
  </si>
  <si>
    <t>Replanejar marcos e realocar atividades não críticas</t>
  </si>
  <si>
    <t>Deslizamento de marcos e compressão do cronograma</t>
  </si>
  <si>
    <t>Atraso no início do desenvolvimento</t>
  </si>
  <si>
    <t>Contratação tardia de equipe técnica</t>
  </si>
  <si>
    <t>R01</t>
  </si>
  <si>
    <t>Baixo - 3</t>
  </si>
  <si>
    <t>Moderada - 3</t>
  </si>
  <si>
    <t>Riscos Colaterais</t>
  </si>
  <si>
    <r>
      <t xml:space="preserve">CONSEQUÊNCIA </t>
    </r>
    <r>
      <rPr>
        <sz val="8"/>
        <rFont val="Arial"/>
        <family val="2"/>
      </rPr>
      <t>(Começar a frase com "O que acarretaria ...")</t>
    </r>
  </si>
  <si>
    <r>
      <t xml:space="preserve">RISCO 
</t>
    </r>
    <r>
      <rPr>
        <sz val="8"/>
        <rFont val="Arial"/>
        <family val="2"/>
      </rPr>
      <t>(Começar a frase com "Pode ocorrer ...")</t>
    </r>
  </si>
  <si>
    <r>
      <t xml:space="preserve">CAUSA 
</t>
    </r>
    <r>
      <rPr>
        <sz val="8"/>
        <color indexed="8"/>
        <rFont val="Arial"/>
        <family val="2"/>
      </rPr>
      <t>(Começa a frase com "Como Resultado ...")</t>
    </r>
  </si>
  <si>
    <t>Recurso</t>
  </si>
  <si>
    <t>Muito Baixo - 2</t>
  </si>
  <si>
    <t>Baixa - 2</t>
  </si>
  <si>
    <t>Severidade 
(X,Y)</t>
  </si>
  <si>
    <t>Plano de Contingência</t>
  </si>
  <si>
    <t>Plano de Prevenção</t>
  </si>
  <si>
    <t>Estratégia de Resposta</t>
  </si>
  <si>
    <t>Resp.</t>
  </si>
  <si>
    <t>Declaração do Risco</t>
  </si>
  <si>
    <t>Fase ou</t>
  </si>
  <si>
    <t>Muito Baixo - 1</t>
  </si>
  <si>
    <t>Muito Baixa - 1</t>
  </si>
  <si>
    <t>Impacto</t>
  </si>
  <si>
    <t>Probabilidade</t>
  </si>
  <si>
    <t>Identificação dos Riscos</t>
  </si>
  <si>
    <t>Muito Alta - 0,8</t>
  </si>
  <si>
    <t>Maior que 20% - 2,80</t>
  </si>
  <si>
    <t>Maior que 20% - 1,80</t>
  </si>
  <si>
    <t>Alta - 0,4</t>
  </si>
  <si>
    <t>Entre 10% e 20% - 2,40</t>
  </si>
  <si>
    <t>Entre 10% e 20% - 1,40</t>
  </si>
  <si>
    <t>Moderada - 0,2</t>
  </si>
  <si>
    <t>Entre 5% e 10% - 2,20</t>
  </si>
  <si>
    <t>Entre 5% e 10% - 1,20</t>
  </si>
  <si>
    <t>Baixa - 0,1</t>
  </si>
  <si>
    <t>Menor que 5% - 2,10</t>
  </si>
  <si>
    <t>Menor que 5% - 1,10</t>
  </si>
  <si>
    <t>Muito baixa - 0,05</t>
  </si>
  <si>
    <t>Insignificante - 2,05</t>
  </si>
  <si>
    <t>Insignificante - 1,05</t>
  </si>
  <si>
    <t>Resultado do Impacto 
(X1+X2)</t>
  </si>
  <si>
    <t>(X1*X2)</t>
  </si>
  <si>
    <t>Desvio no Cronograma  
(X2)</t>
  </si>
  <si>
    <t>Aumento no Custo (X1)</t>
  </si>
  <si>
    <r>
      <t xml:space="preserve">CONSEQÜÊNCIA </t>
    </r>
    <r>
      <rPr>
        <sz val="8"/>
        <rFont val="Arial"/>
        <family val="2"/>
      </rPr>
      <t>(Começar a frase com "O que acarretaria ...")</t>
    </r>
  </si>
  <si>
    <t>Prazo</t>
  </si>
  <si>
    <t>Severidade 
(Y,X)</t>
  </si>
  <si>
    <t>Avaliação de Impacto 
(X)</t>
  </si>
  <si>
    <t>Probabilidade do risco virar incidente 
(Y)</t>
  </si>
  <si>
    <t>dias úteis</t>
  </si>
  <si>
    <t>Base Prazo</t>
  </si>
  <si>
    <t>R$</t>
  </si>
  <si>
    <t>Base Custo</t>
  </si>
  <si>
    <t xml:space="preserve">                      Qualificação dos Riscos</t>
  </si>
  <si>
    <t>Dias de atraso na implantação</t>
  </si>
  <si>
    <t>Exploração de vulnerabilidades, indisponibilidade do serviço</t>
  </si>
  <si>
    <t>Falhas de disponibilidade, janelas de manutenção emergenciais</t>
  </si>
  <si>
    <t>Decisões divergentes, paralisações por bloqueios</t>
  </si>
  <si>
    <t>Erros operacionais, perda de confiança nos dados</t>
  </si>
  <si>
    <t>Sobrecarga do suporte, resistência à mudança</t>
  </si>
  <si>
    <t>Escalonamento de infraestrutura, retrabalho em tuning</t>
  </si>
  <si>
    <t>Reabertura de requisitos, baixa adoção</t>
  </si>
  <si>
    <t>Interrupção de serviço, multas regulatórias</t>
  </si>
  <si>
    <t>Reputação/penalidades, dependência de auditorias externas</t>
  </si>
  <si>
    <t>1 mês de atraso</t>
  </si>
  <si>
    <t>３０</t>
  </si>
  <si>
    <t>Efeito cascata em backlog, aumento de bugs por pressa</t>
  </si>
  <si>
    <t>２０</t>
  </si>
  <si>
    <t>Reordenação de integrações, bloqueio de testes ponta a ponta</t>
  </si>
  <si>
    <t>１０</t>
  </si>
  <si>
    <t>Perda de conhecimento tácito， replanejamento recorrente</t>
  </si>
  <si>
    <t>Incidentes em produção， queda de satisfação do usuário</t>
  </si>
  <si>
    <t>１５</t>
  </si>
  <si>
    <t>Redução de escopo mínimo viável，renegociação contratual</t>
  </si>
  <si>
    <t>Retrabalho em testes; compressão de sprints</t>
  </si>
  <si>
    <t>Observação</t>
  </si>
  <si>
    <r>
      <t xml:space="preserve">Impacto no Cronograma 
</t>
    </r>
    <r>
      <rPr>
        <b/>
        <sz val="8"/>
        <color indexed="10"/>
        <rFont val="Arial"/>
        <family val="2"/>
      </rPr>
      <t>(Colocar qtde. de dias de redução ou atraso no cronograma)</t>
    </r>
  </si>
  <si>
    <r>
      <t xml:space="preserve">Impacto no Custo 
</t>
    </r>
    <r>
      <rPr>
        <b/>
        <sz val="8"/>
        <color indexed="10"/>
        <rFont val="Arial"/>
        <family val="2"/>
      </rPr>
      <t>(Considerar qtde. de horas como unidade de medida, inclusive, a maior ou menor)</t>
    </r>
  </si>
  <si>
    <t>Quantificação dos Riscos</t>
  </si>
  <si>
    <t>Reuniões internas da equipe de projeto, inclusão em material de apresentação para avaliadores.</t>
  </si>
  <si>
    <t>Conforme a fase de planejamento do projeto.</t>
  </si>
  <si>
    <t>Documento de estratégia de suporte (conceitual), slides em pitch deck.</t>
  </si>
  <si>
    <t>Visão estratégica do modelo de suporte, fluxogramas de atendimento, análise de custo-benefício.</t>
  </si>
  <si>
    <t>Canais de atendimento (chat, e-mail, FAQ), tempo de resposta esperado, métricas de satisfação do cliente.</t>
  </si>
  <si>
    <t>Entendimento da complexidade do suporte futuro, custos associados, impacto na satisfação do cliente.</t>
  </si>
  <si>
    <t>(No contexto da feira: Apresentar um plano conceitual de como o suporte será estruturado, canais de comunicação, tipos de problemas a serem resolvidos).</t>
  </si>
  <si>
    <t>Importante para demonstrar que a equipe pensou na sustentabilidade e longevidade do projeto.</t>
  </si>
  <si>
    <t>Influenciam diretamente a lealdade e a satisfação do usuário após o lançamento do produto.</t>
  </si>
  <si>
    <t>Satisfação do usuário a longo prazo, retenção de clientes, reputação da marca, eficiência operacional do suporte.</t>
  </si>
  <si>
    <t>Visão clara de como o suporte será oferecido após o lançamento do aplicativo, planejamento de recursos necessários.</t>
  </si>
  <si>
    <t>Planejar a futura estrutura para resolver problemas dos usuários e fornecer suporte, visando a longo prazo.</t>
  </si>
  <si>
    <t xml:space="preserve">Suporte ao Cliente </t>
  </si>
  <si>
    <t>Futuro/Potencial</t>
  </si>
  <si>
    <t>E-mails institucionais, memorandos, reuniões de organização de eventos, canais de comunicação da universidade.</t>
  </si>
  <si>
    <t>Antes, Durante e Depois da Feira.</t>
  </si>
  <si>
    <t>Comunicados oficiais, relatórios pós-evento, mídias sociais da universidade.</t>
  </si>
  <si>
    <t>Relatórios de resumo do evento, destaques do projeto, fotos e vídeos da feira.</t>
  </si>
  <si>
    <t>Organização do evento, logística, impacto da pesquisa e inovação na instituição, retorno de mídia.</t>
  </si>
  <si>
    <t>Informações sobre a participação do projeto na feira, qualquer necessidade de recursos, destaque da inovação do projeto.</t>
  </si>
  <si>
    <t>Organizar o evento, fornecer infraestrutura (estandes, eletricidade, internet), divulgar a feira, receber convidados importantes.</t>
  </si>
  <si>
    <t>Cruciais para a existência da feira e para o reconhecimento institucional do projeto.</t>
  </si>
  <si>
    <t>Fornecem recursos (espaço, equipamentos), definem as diretrizes do evento, podem divulgar o projeto em canais institucionais.</t>
  </si>
  <si>
    <t>Sucesso do evento, reputação da universidade, captação de recursos, alinhamento com a missão institucional.</t>
  </si>
  <si>
    <t>Feira bem organizada e com alta participação, projetos inovadores e de qualidade, aumento da reputação acadêmica e profissional.</t>
  </si>
  <si>
    <t>Promover a imagem da instituição, exibir a qualidade dos projetos desenvolvidos, atrair novos alunos e parcerias.</t>
  </si>
  <si>
    <t xml:space="preserve">Administração </t>
  </si>
  <si>
    <t>Institucional</t>
  </si>
  <si>
    <t>Interação face a face, demonstrações práticas, distribuição de materiais informativos.</t>
  </si>
  <si>
    <t>Durante o evento da feira.</t>
  </si>
  <si>
    <t>Interação no estande, folhetos, cartões de visita, links para demo online.</t>
  </si>
  <si>
    <t>Apresentações visuais, demonstrações interativas, conversas informais.</t>
  </si>
  <si>
    <t>Facilidade de uso do aplicativo, benefícios práticos, tecnologia inovadora, potencial de futuro.</t>
  </si>
  <si>
    <t>Mensagem clara e envolvente do projeto, facilidade de interação com o protótipo, pontos de contato para seguir o projeto.</t>
  </si>
  <si>
    <t>Visitar estandes, fazer perguntas, participar de demonstrações interativas, fornecer feedback informal.</t>
  </si>
  <si>
    <t>Essenciais para a visibilidade do projeto, para a coleta de feedback informal e para a prática de comunicação da equipe.</t>
  </si>
  <si>
    <t>Criam "buzz" sobre o projeto, podem ser futuros usuários, colaboradores ou empregadores.</t>
  </si>
  <si>
    <t>Curiosidade, networking, oportunidades de carreira/parceria, aprendizado, entretenimento.</t>
  </si>
  <si>
    <t>Entendimento claro do projeto, interação positiva com a equipe, boa impressão sobre a universidade e os projetos.</t>
  </si>
  <si>
    <t>Aprender sobre novas tecnologias, se inspirar, encontrar potenciais colaboradores, talentos ou soluções.</t>
  </si>
  <si>
    <t xml:space="preserve">Visitantes da Feira </t>
  </si>
  <si>
    <t>Público da Feira</t>
  </si>
  <si>
    <t>Interação face a face no estande, apresentações formais (se aplicável).</t>
  </si>
  <si>
    <t>Interação direta no estande, formulários de avaliação específicos da feira.</t>
  </si>
  <si>
    <t>Pitch de elevador (curto e direto), demonstração prática do protótipo, sessão de perguntas e respostas.</t>
  </si>
  <si>
    <t>Originalidade da ideia, execução técnica, potencial de mercado/impacto social, qualidade da apresentação.</t>
  </si>
  <si>
    <t>Pitch claro e conciso, demonstração efetiva do protótipo, capacidade de responder a perguntas, diferenciais do projeto.</t>
  </si>
  <si>
    <t>Visitar estandes, ouvir pitches, fazer perguntas desafiadoras, preencher formulários de avaliação, debater e selecionar vencedores.</t>
  </si>
  <si>
    <t>Determinantes para o reconhecimento e validação do projeto em um contexto mais amplo.</t>
  </si>
  <si>
    <t>Atribuem prêmios/reconhecimentos, influenciam a percepção pública e acadêmica do projeto.</t>
  </si>
  <si>
    <t>Inovação, criatividade, rigor técnico, potencial de aplicação real, retorno sobre o tempo investido na avaliação.</t>
  </si>
  <si>
    <t>Seleção dos projetos vencedores, identificação de talentos, incentivo à inovação.</t>
  </si>
  <si>
    <t>Julgar a inovação, viabilidade, apresentação e impacto do projeto em relação aos critérios da feira.</t>
  </si>
  <si>
    <t>Avaliadores Externos</t>
  </si>
  <si>
    <t>Reuniões presenciais/online, e-mails, plataforma de aprendizagem (LMS).</t>
  </si>
  <si>
    <t>Semanal</t>
  </si>
  <si>
    <t>Reuniões de orientação, relatórios escritos, sessões de Q&amp;A.</t>
  </si>
  <si>
    <t>Relatórios de progresso detalhados, demonstrações, discussões aprofundadas.</t>
  </si>
  <si>
    <t>Metodologia utilizada, rigor técnico, originalidade da ideia, contribuição para a área de estudo.</t>
  </si>
  <si>
    <t>Progresso do projeto, aderência à metodologia, resultados alcançados, desafios superados, plano de aprendizado.</t>
  </si>
  <si>
    <t>Revisar relatórios de progresso, participar de reuniões de orientação, avaliar a apresentação na feira, fornecer feedback e notas.</t>
  </si>
  <si>
    <t>Cruciais para o sucesso acadêmico do projeto e para o reconhecimento do esforço da equipe.</t>
  </si>
  <si>
    <t>Atribuem notas, fornecem direcionamento, aprovam a participação em eventos, podem abrir portas para oportunidades futuras.</t>
  </si>
  <si>
    <t>Qualidade acadêmica dos trabalhos, desenvolvimento dos alunos, inovação na pesquisa e projetos, reputação do departamento/universidade.</t>
  </si>
  <si>
    <t>Projeto que atenda aos requisitos do curso, evidência de aprendizado e inovação, apresentação clara dos conceitos.</t>
  </si>
  <si>
    <t>Avaliar o projeto de acordo com os critérios acadêmicos, fornecer orientação e feedback construtivo.</t>
  </si>
  <si>
    <t>Orientadores</t>
  </si>
  <si>
    <t>Acadêmicos e Avaliadores</t>
  </si>
  <si>
    <t>Reuniões de estratégia, e-mails, impressão de materiais.</t>
  </si>
  <si>
    <t xml:space="preserve">Mensal </t>
  </si>
  <si>
    <t>Apresentações (pitch), materiais de divulgação, discussões de estratégia.</t>
  </si>
  <si>
    <t>Plano de marketing (conceitual), pitch deck, folhetos informativos, análise SWOT simplificada.</t>
  </si>
  <si>
    <t>Análise de mercado, diferenciação do produto, estratégia de comunicação, feedback do público da feira, oportunidades de crescimento.</t>
  </si>
  <si>
    <t>Entendimento claro do produto, pontos de venda únicos, análise do público da feira, metas de comunicação.</t>
  </si>
  <si>
    <t>Desenvolver o pitch deck, criar materiais de divulgação (folhetos, banners), analisar o público-alvo, pesquisar a concorrência (conceitual), desenvolver um plano de negócios simplificado.</t>
  </si>
  <si>
    <t>Essenciais para comunicar o potencial do projeto além da técnica e design, atraindo investidores ou parceiros futuros.</t>
  </si>
  <si>
    <t>Moldam a narrativa do projeto e como ele é percebido pelo público e avaliadores.</t>
  </si>
  <si>
    <t>Potencial de mercado, estratégia de comunicação, impacto no público, networking, aplicação de conceitos de marketing/negócios.</t>
  </si>
  <si>
    <t>Pitch convincente e envolvente, materiais de divulgação atraentes, captação de interesse do público e potenciais parceiros/avaliadores.</t>
  </si>
  <si>
    <t>Articular o valor do projeto, seu potencial de mercado e futuro modelo de negócio para a feira.</t>
  </si>
  <si>
    <t xml:space="preserve">Estrategista de Negócios/Marketing </t>
  </si>
  <si>
    <t>Reuniões de design, compartilhamento de links de protótipos, feedback via comentários em ferramentas de design.</t>
  </si>
  <si>
    <t>Conforme com a disponibilidade de todo mundo</t>
  </si>
  <si>
    <t>Ferramentas de design (Figma, Sketch, Adobe XD), apresentações de design, reuniões de feedback.</t>
  </si>
  <si>
    <t>Protótipos de alta fidelidade, guias de estilo, assets visuais, relatórios de testes de usabilidade.</t>
  </si>
  <si>
    <t>Tendências de design, feedback de usabilidade, ferramentas de prototipagem (Figma, Adobe XD), acessibilidade.</t>
  </si>
  <si>
    <t>Feedback dos usuários (se houver testes), alinhamento com os desenvolvedores sobre a viabilidade técnica dos designs, requisitos de marca.</t>
  </si>
  <si>
    <t>Criar wireframes, mockups, protótipos interativos, definir paleta de cores e tipografia, realizar testes de usabilidade (se possível).</t>
  </si>
  <si>
    <t>Cruciais para tornar o protótipo visualmente atraente e fácil de interagir, aumentando o impacto na feira.</t>
  </si>
  <si>
    <t>Influenciam a primeira impressão, a facilidade de uso e o engajamento do público com o protótipo.</t>
  </si>
  <si>
    <t>Criatividade, usabilidade, reconhecimento do design, impacto na experiência do usuário, aprendizado de ferramentas de design.</t>
  </si>
  <si>
    <t>Designs finalizados e aprovados, protótipo com alta usabilidade e estética, feedback positivo sobre a interface.</t>
  </si>
  <si>
    <t>Criar uma experiência de usuário intuitiva e um design visual atraente para o protótipo.</t>
  </si>
  <si>
    <t>Designers UX/UI</t>
  </si>
  <si>
    <t>Daily stand-ups, pull requests, revisões de código, comunicação via digital.</t>
  </si>
  <si>
    <t>Diário.</t>
  </si>
  <si>
    <t>Ambiente de desenvolvimento (IDE), repositório de código (GitHub), ferramentas de comunicação da equipe.</t>
  </si>
  <si>
    <t>Detalhes técnicos, diagramas de arquitetura, repositórios de código.</t>
  </si>
  <si>
    <t>Desafios de implementação, arquitetura do software, performance do protótipo, novas ferramentas e tecnologias.</t>
  </si>
  <si>
    <t>Especificações claras das funcionalidades, designs implementáveis, feedback sobre desempenho e bugs.</t>
  </si>
  <si>
    <t>Escrever código, realizar testes unitários e de integração, implementar recursos, resolver problemas técnicos, colaborar na integração de sistemas.</t>
  </si>
  <si>
    <t>Essenciais para a materialização da ideia em um produto tangível para demonstração.</t>
  </si>
  <si>
    <t>Impactam diretamente a viabilidade técnica e a qualidade do protótipo.</t>
  </si>
  <si>
    <t>Aprender novas tecnologias, aplicar conhecimentos de programação, bom desempenho técnico, contribuição tangível para o projeto.</t>
  </si>
  <si>
    <t>Entrega do código dentro do prazo, mínimo de bugs, funcionalidades principais implementadas e demonstráveis.</t>
  </si>
  <si>
    <t>Construir o protótipo do aplicativo funcional e robusto, aplicando conhecimentos técnicos.</t>
  </si>
  <si>
    <t>Desenvolvedores</t>
  </si>
  <si>
    <t>Reuniões online/presenciais, ferramentas de gestão de projeto (Trello, Jira), e-mails, grupo de mensagens.</t>
  </si>
  <si>
    <t xml:space="preserve"> Semanal</t>
  </si>
  <si>
    <t>Reuniões de equipe, documentos de planejamento, apresentações de status, pdf, slides.</t>
  </si>
  <si>
    <t>Resumos executivos, planos de projeto, status meetings.</t>
  </si>
  <si>
    <t>Visão geral do projeto, progresso das tarefas, desafios técnicos, feedback dos testes, apresentação final.</t>
  </si>
  <si>
    <t>Clareza na visão do produto, alinhamento da equipe, feedback de progresso, entendimento das expectativas dos professores e jurados.</t>
  </si>
  <si>
    <t>Definir o MVP (Produto Mínimo Viável), priorizar funcionalidades, gerenciar o backlog do projeto, alinhar a equipe, preparar o pitch e a narrativa para a feira.</t>
  </si>
  <si>
    <t>Fundamental para a direção e a coesão do trabalho em equipe, assegura que a visão seja comunicada e implementada.</t>
  </si>
  <si>
    <t>Direciona as prioridades do desenvolvimento, toma decisões estratégicas para o projeto, define a mensagem principal.</t>
  </si>
  <si>
    <t>Sucesso do projeto, aprendizado prático, nota final, reconhecimento acadêmico.</t>
  </si>
  <si>
    <t>Projeto funcional e coeso apresentado na feira, cumprimento de requisitos acadêmicos, sucesso na avaliação dos professores .</t>
  </si>
  <si>
    <t>Definir a visão e escopo do projeto, guiar o desenvolvimento do protótipo e garantir a entrega para a feira.</t>
  </si>
  <si>
    <t xml:space="preserve">Product Owner </t>
  </si>
  <si>
    <t>Equipe do Projeto</t>
  </si>
  <si>
    <t>Mecanismo de Entrega</t>
  </si>
  <si>
    <t>Formato</t>
  </si>
  <si>
    <t>Nível de Detalhe</t>
  </si>
  <si>
    <t>Área de Interesse</t>
  </si>
  <si>
    <t>Sintonia "Fina"</t>
  </si>
  <si>
    <t>Papéis &amp; Responsabilidades</t>
  </si>
  <si>
    <t>Importância e Impacto</t>
  </si>
  <si>
    <t>Poder e Influência</t>
  </si>
  <si>
    <t>Motivações e Interesses</t>
  </si>
  <si>
    <t>Metas</t>
  </si>
  <si>
    <t>Objetivos</t>
  </si>
  <si>
    <t>Stakeholder</t>
  </si>
  <si>
    <t>Adriano</t>
  </si>
  <si>
    <t>Gabriel Orlandi</t>
  </si>
  <si>
    <t>Gerente do Projeto</t>
  </si>
  <si>
    <t xml:space="preserve">Matheus Santoro </t>
  </si>
  <si>
    <t>Gerente Financeiro</t>
  </si>
  <si>
    <t>Adriano Xu</t>
  </si>
  <si>
    <t>Gerente de TI</t>
  </si>
  <si>
    <t>Karol Lemos</t>
  </si>
  <si>
    <t>Gerente de RH</t>
  </si>
  <si>
    <t>Cauã William</t>
  </si>
  <si>
    <t>Gerente Comunicação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</si>
</sst>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5" formatCode="ddd\,\ dd/mm/yyyy"/>
    <numFmt numFmtId="166" formatCode="d\-mmm\-yyyy"/>
    <numFmt numFmtId="167" formatCode="d"/>
    <numFmt numFmtId="168" formatCode="d/m/yy;@"/>
    <numFmt numFmtId="170" formatCode="0_);\(0\)"/>
    <numFmt numFmtId="171" formatCode="&quot;R$ &quot;#,##0_);\(&quot;R$ &quot;#,##0\)"/>
  </numFmts>
  <fonts count="4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2"/>
      <name val="Times New Roman"/>
      <family val="1"/>
    </font>
    <font>
      <b/>
      <sz val="10"/>
      <name val="Arial"/>
      <family val="2"/>
    </font>
    <font>
      <u/>
      <sz val="10"/>
      <color indexed="12"/>
      <name val="Arial"/>
      <family val="2"/>
    </font>
    <font>
      <b/>
      <sz val="13"/>
      <name val="Times New Roman"/>
      <family val="1"/>
    </font>
    <font>
      <sz val="10"/>
      <name val="Arial"/>
      <family val="2"/>
    </font>
    <font>
      <b/>
      <sz val="12"/>
      <color indexed="9"/>
      <name val="Times New Roman"/>
      <family val="1"/>
    </font>
    <font>
      <sz val="8"/>
      <name val="Arial"/>
      <family val="2"/>
    </font>
    <font>
      <sz val="12"/>
      <name val="Arial"/>
      <family val="2"/>
    </font>
    <font>
      <sz val="11"/>
      <color theme="1"/>
      <name val="Calibri"/>
      <family val="2"/>
      <scheme val="minor"/>
    </font>
    <font>
      <sz val="11"/>
      <color theme="0"/>
      <name val="Calibri"/>
      <family val="2"/>
      <scheme val="minor"/>
    </font>
    <font>
      <b/>
      <sz val="18"/>
      <color theme="3"/>
      <name val="Cambria"/>
      <family val="2"/>
      <scheme val="major"/>
    </font>
    <font>
      <b/>
      <sz val="13"/>
      <color theme="3"/>
      <name val="Calibri"/>
      <family val="2"/>
      <scheme val="minor"/>
    </font>
    <font>
      <b/>
      <sz val="11"/>
      <color theme="3"/>
      <name val="Calibri"/>
      <family val="2"/>
      <scheme val="minor"/>
    </font>
    <font>
      <b/>
      <sz val="11"/>
      <color theme="1"/>
      <name val="Calibri"/>
      <family val="2"/>
      <scheme val="minor"/>
    </font>
    <font>
      <b/>
      <sz val="20"/>
      <color theme="4" tint="-0.249977111117893"/>
      <name val="Cambria"/>
      <family val="2"/>
      <scheme val="major"/>
    </font>
    <font>
      <sz val="10"/>
      <name val="Calibri"/>
      <family val="2"/>
      <scheme val="minor"/>
    </font>
    <font>
      <sz val="9"/>
      <name val="Calibri"/>
      <family val="2"/>
      <scheme val="minor"/>
    </font>
    <font>
      <b/>
      <sz val="9"/>
      <color theme="0"/>
      <name val="Calibri"/>
      <family val="2"/>
      <scheme val="minor"/>
    </font>
    <font>
      <sz val="8"/>
      <color theme="0"/>
      <name val="Calibri"/>
      <family val="2"/>
      <scheme val="minor"/>
    </font>
    <font>
      <sz val="11"/>
      <name val="Calibri"/>
      <family val="2"/>
      <scheme val="minor"/>
    </font>
    <font>
      <i/>
      <sz val="9"/>
      <color theme="1"/>
      <name val="Calibri"/>
      <family val="2"/>
      <scheme val="minor"/>
    </font>
    <font>
      <sz val="10"/>
      <color theme="1" tint="0.499984740745262"/>
      <name val="Calibri"/>
      <family val="2"/>
      <scheme val="minor"/>
    </font>
    <font>
      <b/>
      <sz val="11"/>
      <color theme="1" tint="0.499984740745262"/>
      <name val="Calibri"/>
      <family val="2"/>
      <scheme val="minor"/>
    </font>
    <font>
      <sz val="10"/>
      <color theme="1" tint="0.499984740745262"/>
      <name val="Arial"/>
      <family val="2"/>
    </font>
    <font>
      <b/>
      <sz val="12"/>
      <name val="Arial"/>
      <family val="2"/>
    </font>
    <font>
      <sz val="12"/>
      <color rgb="FF374151"/>
      <name val="Arial"/>
      <family val="2"/>
    </font>
    <font>
      <sz val="11"/>
      <name val="Arial"/>
      <family val="2"/>
    </font>
    <font>
      <u/>
      <sz val="11"/>
      <color theme="10"/>
      <name val="Calibri"/>
      <family val="2"/>
      <scheme val="minor"/>
    </font>
    <font>
      <sz val="11"/>
      <color theme="1"/>
      <name val="Calibri"/>
      <family val="2"/>
    </font>
    <font>
      <sz val="10"/>
      <name val="Arial"/>
      <family val="2"/>
    </font>
    <font>
      <sz val="12"/>
      <color theme="1"/>
      <name val="Arial"/>
      <family val="2"/>
    </font>
    <font>
      <sz val="10"/>
      <color rgb="FF9C0006"/>
      <name val="Arial"/>
      <family val="2"/>
    </font>
    <font>
      <sz val="11"/>
      <name val="Arial"/>
    </font>
    <font>
      <sz val="12"/>
      <name val="Arial"/>
    </font>
    <font>
      <b/>
      <sz val="12"/>
      <name val="Arial"/>
    </font>
    <font>
      <sz val="10"/>
      <name val="Arial"/>
    </font>
    <font>
      <b/>
      <sz val="8"/>
      <name val="Arial"/>
      <family val="2"/>
    </font>
    <font>
      <b/>
      <sz val="8"/>
      <color indexed="10"/>
      <name val="Arial"/>
      <family val="2"/>
    </font>
    <font>
      <b/>
      <sz val="8"/>
      <color indexed="8"/>
      <name val="Arial"/>
      <family val="2"/>
    </font>
    <font>
      <sz val="8"/>
      <color indexed="8"/>
      <name val="Arial"/>
      <family val="2"/>
    </font>
    <font>
      <b/>
      <sz val="16"/>
      <name val="Arial"/>
      <family val="2"/>
    </font>
    <font>
      <b/>
      <sz val="12"/>
      <color indexed="10"/>
      <name val="Arial"/>
      <family val="2"/>
    </font>
  </fonts>
  <fills count="32">
    <fill>
      <patternFill patternType="none"/>
    </fill>
    <fill>
      <patternFill patternType="gray125"/>
    </fill>
    <fill>
      <patternFill patternType="solid">
        <fgColor indexed="62"/>
        <bgColor indexed="64"/>
      </patternFill>
    </fill>
    <fill>
      <patternFill patternType="solid">
        <fgColor indexed="56"/>
        <bgColor indexed="64"/>
      </patternFill>
    </fill>
    <fill>
      <patternFill patternType="solid">
        <fgColor indexed="9"/>
        <bgColor indexed="64"/>
      </patternFill>
    </fill>
    <fill>
      <patternFill patternType="solid">
        <fgColor theme="3"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theme="1" tint="0.34998626667073579"/>
        <bgColor theme="4"/>
      </patternFill>
    </fill>
    <fill>
      <patternFill patternType="solid">
        <fgColor theme="1" tint="0.34998626667073579"/>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6" tint="0.59999389629810485"/>
        <bgColor indexed="65"/>
      </patternFill>
    </fill>
    <fill>
      <patternFill patternType="solid">
        <fgColor theme="4"/>
        <bgColor theme="4"/>
      </patternFill>
    </fill>
    <fill>
      <patternFill patternType="solid">
        <fgColor theme="5"/>
        <bgColor theme="5"/>
      </patternFill>
    </fill>
    <fill>
      <patternFill patternType="solid">
        <fgColor theme="9" tint="0.59999389629810485"/>
        <bgColor indexed="64"/>
      </patternFill>
    </fill>
    <fill>
      <patternFill patternType="solid">
        <fgColor rgb="FFFFFFFF"/>
        <bgColor rgb="FF000000"/>
      </patternFill>
    </fill>
    <fill>
      <patternFill patternType="solid">
        <fgColor rgb="FFFFC7CE"/>
        <bgColor rgb="FF000000"/>
      </patternFill>
    </fill>
    <fill>
      <patternFill patternType="solid">
        <fgColor rgb="FF8DB4E2"/>
        <bgColor rgb="FF000000"/>
      </patternFill>
    </fill>
    <fill>
      <patternFill patternType="solid">
        <fgColor indexed="22"/>
        <bgColor indexed="64"/>
      </patternFill>
    </fill>
    <fill>
      <patternFill patternType="solid">
        <fgColor indexed="41"/>
        <bgColor indexed="64"/>
      </patternFill>
    </fill>
    <fill>
      <patternFill patternType="solid">
        <fgColor indexed="10"/>
        <bgColor indexed="64"/>
      </patternFill>
    </fill>
    <fill>
      <patternFill patternType="solid">
        <fgColor indexed="47"/>
        <bgColor indexed="64"/>
      </patternFill>
    </fill>
    <fill>
      <patternFill patternType="solid">
        <fgColor indexed="43"/>
        <bgColor indexed="64"/>
      </patternFill>
    </fill>
    <fill>
      <patternFill patternType="solid">
        <fgColor rgb="FFF2F2F2"/>
        <bgColor indexed="64"/>
      </patternFill>
    </fill>
  </fills>
  <borders count="8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indexed="9"/>
      </top>
      <bottom/>
      <diagonal/>
    </border>
    <border>
      <left style="thin">
        <color indexed="9"/>
      </left>
      <right/>
      <top style="thin">
        <color rgb="FF999999"/>
      </top>
      <bottom style="thin">
        <color rgb="FF999999"/>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34998626667073579"/>
      </bottom>
      <diagonal/>
    </border>
    <border>
      <left style="thin">
        <color theme="0" tint="-0.34998626667073579"/>
      </left>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right style="thin">
        <color rgb="FF000000"/>
      </right>
      <top style="thin">
        <color indexed="64"/>
      </top>
      <bottom style="thin">
        <color rgb="FF000000"/>
      </bottom>
      <diagonal/>
    </border>
    <border>
      <left style="thin">
        <color rgb="FF000000"/>
      </left>
      <right/>
      <top style="thin">
        <color indexed="64"/>
      </top>
      <bottom style="thin">
        <color indexed="64"/>
      </bottom>
      <diagonal/>
    </border>
    <border>
      <left style="thin">
        <color indexed="64"/>
      </left>
      <right/>
      <top style="thin">
        <color indexed="64"/>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thin">
        <color indexed="64"/>
      </right>
      <top style="medium">
        <color indexed="64"/>
      </top>
      <bottom style="medium">
        <color indexed="64"/>
      </bottom>
      <diagonal/>
    </border>
    <border>
      <left/>
      <right/>
      <top/>
      <bottom style="thin">
        <color indexed="64"/>
      </bottom>
      <diagonal/>
    </border>
    <border>
      <left/>
      <right style="thin">
        <color indexed="64"/>
      </right>
      <top style="medium">
        <color indexed="64"/>
      </top>
      <bottom style="thin">
        <color indexed="64"/>
      </bottom>
      <diagonal/>
    </border>
    <border>
      <left/>
      <right style="medium">
        <color indexed="64"/>
      </right>
      <top style="thin">
        <color indexed="64"/>
      </top>
      <bottom/>
      <diagonal/>
    </border>
    <border>
      <left style="medium">
        <color indexed="64"/>
      </left>
      <right style="medium">
        <color indexed="64"/>
      </right>
      <top/>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bottom style="medium">
        <color rgb="FFDDDDDD"/>
      </bottom>
      <diagonal/>
    </border>
    <border>
      <left style="medium">
        <color rgb="FFDDDDDD"/>
      </left>
      <right style="medium">
        <color rgb="FFDDDDDD"/>
      </right>
      <top style="medium">
        <color rgb="FFDDDDDD"/>
      </top>
      <bottom/>
      <diagonal/>
    </border>
    <border>
      <left style="medium">
        <color rgb="FFDDDDDD"/>
      </left>
      <right style="medium">
        <color rgb="FFDDDDDD"/>
      </right>
      <top/>
      <bottom/>
      <diagonal/>
    </border>
    <border>
      <left style="thin">
        <color indexed="64"/>
      </left>
      <right/>
      <top/>
      <bottom/>
      <diagonal/>
    </border>
    <border>
      <left/>
      <right/>
      <top style="thin">
        <color indexed="64"/>
      </top>
      <bottom/>
      <diagonal/>
    </border>
  </borders>
  <cellStyleXfs count="23">
    <xf numFmtId="0" fontId="0" fillId="0" borderId="0"/>
    <xf numFmtId="168" fontId="14" fillId="0" borderId="39" applyFill="0">
      <alignment horizontal="center" vertical="center"/>
    </xf>
    <xf numFmtId="0" fontId="8" fillId="0" borderId="0" applyNumberFormat="0" applyFill="0" applyBorder="0" applyAlignment="0" applyProtection="0">
      <alignment vertical="top"/>
      <protection locked="0"/>
    </xf>
    <xf numFmtId="165" fontId="14" fillId="0" borderId="31">
      <alignment horizontal="center" vertical="center"/>
    </xf>
    <xf numFmtId="0" fontId="14" fillId="0" borderId="39" applyFill="0">
      <alignment horizontal="center" vertical="center"/>
    </xf>
    <xf numFmtId="9" fontId="4" fillId="0" borderId="0" applyFont="0" applyFill="0" applyBorder="0" applyAlignment="0" applyProtection="0"/>
    <xf numFmtId="0" fontId="14" fillId="0" borderId="39" applyFill="0">
      <alignment horizontal="left" vertical="center" indent="2"/>
    </xf>
    <xf numFmtId="0" fontId="16" fillId="0" borderId="0" applyNumberFormat="0" applyFill="0" applyBorder="0" applyAlignment="0" applyProtection="0"/>
    <xf numFmtId="0" fontId="17" fillId="0" borderId="21" applyNumberFormat="0" applyFill="0" applyAlignment="0" applyProtection="0"/>
    <xf numFmtId="0" fontId="18" fillId="0" borderId="22" applyNumberFormat="0" applyFill="0" applyAlignment="0" applyProtection="0"/>
    <xf numFmtId="0" fontId="15" fillId="0" borderId="0"/>
    <xf numFmtId="0" fontId="4" fillId="0" borderId="0"/>
    <xf numFmtId="0" fontId="16" fillId="0" borderId="0" applyNumberFormat="0" applyFill="0" applyBorder="0" applyAlignment="0" applyProtection="0"/>
    <xf numFmtId="0" fontId="33" fillId="0" borderId="0" applyNumberFormat="0" applyFill="0" applyBorder="0" applyAlignment="0" applyProtection="0"/>
    <xf numFmtId="0" fontId="15" fillId="20" borderId="0" applyNumberFormat="0" applyBorder="0" applyAlignment="0" applyProtection="0"/>
    <xf numFmtId="0" fontId="25" fillId="0" borderId="0"/>
    <xf numFmtId="0" fontId="15" fillId="21" borderId="0" applyNumberFormat="0" applyBorder="0" applyAlignment="0" applyProtection="0"/>
    <xf numFmtId="0" fontId="34" fillId="19" borderId="0" applyNumberFormat="0" applyBorder="0" applyAlignment="0" applyProtection="0"/>
    <xf numFmtId="0" fontId="3" fillId="0" borderId="0"/>
    <xf numFmtId="9" fontId="35" fillId="0" borderId="0" applyFont="0" applyFill="0" applyBorder="0" applyAlignment="0" applyProtection="0"/>
    <xf numFmtId="0" fontId="2" fillId="0" borderId="0"/>
    <xf numFmtId="9" fontId="41" fillId="0" borderId="0" applyFont="0" applyFill="0" applyBorder="0" applyAlignment="0" applyProtection="0"/>
    <xf numFmtId="0" fontId="1" fillId="0" borderId="0"/>
  </cellStyleXfs>
  <cellXfs count="319">
    <xf numFmtId="0" fontId="0" fillId="0" borderId="0" xfId="0"/>
    <xf numFmtId="0" fontId="0" fillId="0" borderId="0" xfId="0" applyAlignment="1">
      <alignment horizontal="center"/>
    </xf>
    <xf numFmtId="0" fontId="0" fillId="0" borderId="0" xfId="0" applyAlignment="1">
      <alignment horizontal="left"/>
    </xf>
    <xf numFmtId="0" fontId="9" fillId="0" borderId="0" xfId="0" applyFont="1"/>
    <xf numFmtId="0" fontId="6" fillId="0" borderId="1" xfId="0" applyFont="1" applyBorder="1" applyAlignment="1">
      <alignment horizontal="left" vertical="top" wrapText="1"/>
    </xf>
    <xf numFmtId="0" fontId="6" fillId="0" borderId="2" xfId="0" applyFont="1" applyBorder="1" applyAlignment="1">
      <alignment horizontal="left" vertical="top" wrapText="1" indent="2"/>
    </xf>
    <xf numFmtId="0" fontId="10" fillId="0" borderId="0" xfId="0" applyFont="1"/>
    <xf numFmtId="0" fontId="7" fillId="0" borderId="0" xfId="0" applyFont="1" applyAlignment="1">
      <alignment vertical="center"/>
    </xf>
    <xf numFmtId="0" fontId="6" fillId="0" borderId="1" xfId="0" applyFont="1" applyBorder="1" applyAlignment="1">
      <alignment horizontal="left" vertical="center" wrapText="1"/>
    </xf>
    <xf numFmtId="0" fontId="10" fillId="0" borderId="0" xfId="0" applyFont="1" applyAlignment="1">
      <alignment vertical="center"/>
    </xf>
    <xf numFmtId="0" fontId="6" fillId="0" borderId="2" xfId="0" applyFont="1" applyBorder="1" applyAlignment="1">
      <alignment horizontal="left" vertical="center" wrapText="1" indent="2"/>
    </xf>
    <xf numFmtId="0" fontId="11" fillId="2" borderId="3" xfId="0" applyFont="1" applyFill="1" applyBorder="1" applyAlignment="1">
      <alignment horizontal="left" vertical="center" wrapText="1" indent="2"/>
    </xf>
    <xf numFmtId="0" fontId="11" fillId="2" borderId="4" xfId="0" applyFont="1" applyFill="1" applyBorder="1" applyAlignment="1">
      <alignment horizontal="left" vertical="center" wrapText="1"/>
    </xf>
    <xf numFmtId="0" fontId="0" fillId="0" borderId="0" xfId="0" applyAlignment="1">
      <alignment vertical="center"/>
    </xf>
    <xf numFmtId="0" fontId="11" fillId="3" borderId="7"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11" fillId="3" borderId="10" xfId="0" applyFont="1" applyFill="1" applyBorder="1" applyAlignment="1">
      <alignment horizontal="center" vertical="center" wrapText="1"/>
    </xf>
    <xf numFmtId="0" fontId="0" fillId="0" borderId="5" xfId="0" applyBorder="1"/>
    <xf numFmtId="0" fontId="0" fillId="0" borderId="23" xfId="0" applyBorder="1"/>
    <xf numFmtId="0" fontId="0" fillId="0" borderId="24" xfId="0" applyBorder="1"/>
    <xf numFmtId="0" fontId="0" fillId="0" borderId="23" xfId="0" pivotButton="1"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15" fillId="0" borderId="0" xfId="10" applyAlignment="1">
      <alignment wrapText="1"/>
    </xf>
    <xf numFmtId="0" fontId="16" fillId="0" borderId="0" xfId="7" applyAlignment="1">
      <alignment horizontal="left"/>
    </xf>
    <xf numFmtId="0" fontId="20" fillId="0" borderId="0" xfId="0" applyFont="1" applyAlignment="1">
      <alignment horizontal="left"/>
    </xf>
    <xf numFmtId="0" fontId="21" fillId="0" borderId="0" xfId="0" applyFont="1"/>
    <xf numFmtId="0" fontId="21" fillId="0" borderId="0" xfId="0" applyFont="1" applyAlignment="1">
      <alignment horizontal="center"/>
    </xf>
    <xf numFmtId="0" fontId="15" fillId="0" borderId="0" xfId="10"/>
    <xf numFmtId="0" fontId="0" fillId="0" borderId="31" xfId="0" applyBorder="1" applyAlignment="1">
      <alignment horizontal="center" vertical="center"/>
    </xf>
    <xf numFmtId="0" fontId="0" fillId="0" borderId="35" xfId="0" applyBorder="1"/>
    <xf numFmtId="167" fontId="22" fillId="7" borderId="36" xfId="0" applyNumberFormat="1" applyFont="1" applyFill="1" applyBorder="1" applyAlignment="1">
      <alignment horizontal="center" vertical="center"/>
    </xf>
    <xf numFmtId="167" fontId="22" fillId="7" borderId="0" xfId="0" applyNumberFormat="1" applyFont="1" applyFill="1" applyAlignment="1">
      <alignment horizontal="center" vertical="center"/>
    </xf>
    <xf numFmtId="167" fontId="22" fillId="7" borderId="30" xfId="0" applyNumberFormat="1" applyFont="1" applyFill="1" applyBorder="1" applyAlignment="1">
      <alignment horizontal="center" vertical="center"/>
    </xf>
    <xf numFmtId="0" fontId="23" fillId="8" borderId="33" xfId="0" applyFont="1" applyFill="1" applyBorder="1" applyAlignment="1">
      <alignment horizontal="left" vertical="center" indent="1"/>
    </xf>
    <xf numFmtId="0" fontId="23" fillId="8" borderId="33" xfId="0" applyFont="1" applyFill="1" applyBorder="1" applyAlignment="1">
      <alignment horizontal="center" vertical="center" wrapText="1"/>
    </xf>
    <xf numFmtId="0" fontId="24" fillId="9" borderId="37" xfId="0" applyFont="1" applyFill="1" applyBorder="1" applyAlignment="1">
      <alignment horizontal="center" vertical="center" shrinkToFit="1"/>
    </xf>
    <xf numFmtId="0" fontId="0" fillId="0" borderId="0" xfId="0" applyAlignment="1">
      <alignment wrapText="1"/>
    </xf>
    <xf numFmtId="0" fontId="0" fillId="0" borderId="38" xfId="0" applyBorder="1" applyAlignment="1">
      <alignment vertical="center"/>
    </xf>
    <xf numFmtId="0" fontId="19" fillId="10" borderId="39" xfId="0" applyFont="1" applyFill="1" applyBorder="1" applyAlignment="1">
      <alignment horizontal="left" vertical="center" indent="1"/>
    </xf>
    <xf numFmtId="0" fontId="14" fillId="10" borderId="39" xfId="4" applyFill="1">
      <alignment horizontal="center" vertical="center"/>
    </xf>
    <xf numFmtId="9" fontId="25" fillId="10" borderId="39" xfId="5" applyFont="1" applyFill="1" applyBorder="1" applyAlignment="1">
      <alignment horizontal="center" vertical="center"/>
    </xf>
    <xf numFmtId="168" fontId="0" fillId="10" borderId="39" xfId="0" applyNumberFormat="1" applyFill="1" applyBorder="1" applyAlignment="1">
      <alignment horizontal="center" vertical="center"/>
    </xf>
    <xf numFmtId="168" fontId="25" fillId="10" borderId="39" xfId="0" applyNumberFormat="1" applyFont="1" applyFill="1" applyBorder="1" applyAlignment="1">
      <alignment horizontal="center" vertical="center"/>
    </xf>
    <xf numFmtId="0" fontId="25" fillId="0" borderId="39" xfId="0" applyFont="1" applyBorder="1" applyAlignment="1">
      <alignment horizontal="center" vertical="center"/>
    </xf>
    <xf numFmtId="0" fontId="14" fillId="11" borderId="39" xfId="6" applyFill="1">
      <alignment horizontal="left" vertical="center" indent="2"/>
    </xf>
    <xf numFmtId="0" fontId="14" fillId="11" borderId="39" xfId="4" applyFill="1">
      <alignment horizontal="center" vertical="center"/>
    </xf>
    <xf numFmtId="9" fontId="25" fillId="11" borderId="39" xfId="5" applyFont="1" applyFill="1" applyBorder="1" applyAlignment="1">
      <alignment horizontal="center" vertical="center"/>
    </xf>
    <xf numFmtId="168" fontId="14" fillId="11" borderId="39" xfId="1" applyFill="1">
      <alignment horizontal="center" vertical="center"/>
    </xf>
    <xf numFmtId="0" fontId="0" fillId="0" borderId="38" xfId="0" applyBorder="1" applyAlignment="1">
      <alignment horizontal="right" vertical="center"/>
    </xf>
    <xf numFmtId="0" fontId="19" fillId="12" borderId="39" xfId="0" applyFont="1" applyFill="1" applyBorder="1" applyAlignment="1">
      <alignment horizontal="left" vertical="center" indent="1"/>
    </xf>
    <xf numFmtId="0" fontId="14" fillId="12" borderId="39" xfId="4" applyFill="1">
      <alignment horizontal="center" vertical="center"/>
    </xf>
    <xf numFmtId="9" fontId="25" fillId="12" borderId="39" xfId="5" applyFont="1" applyFill="1" applyBorder="1" applyAlignment="1">
      <alignment horizontal="center" vertical="center"/>
    </xf>
    <xf numFmtId="168" fontId="0" fillId="12" borderId="39" xfId="0" applyNumberFormat="1" applyFill="1" applyBorder="1" applyAlignment="1">
      <alignment horizontal="center" vertical="center"/>
    </xf>
    <xf numFmtId="168" fontId="25" fillId="12" borderId="39" xfId="0" applyNumberFormat="1" applyFont="1" applyFill="1" applyBorder="1" applyAlignment="1">
      <alignment horizontal="center" vertical="center"/>
    </xf>
    <xf numFmtId="0" fontId="14" fillId="13" borderId="39" xfId="6" applyFill="1">
      <alignment horizontal="left" vertical="center" indent="2"/>
    </xf>
    <xf numFmtId="0" fontId="14" fillId="13" borderId="39" xfId="4" applyFill="1">
      <alignment horizontal="center" vertical="center"/>
    </xf>
    <xf numFmtId="9" fontId="25" fillId="13" borderId="39" xfId="5" applyFont="1" applyFill="1" applyBorder="1" applyAlignment="1">
      <alignment horizontal="center" vertical="center"/>
    </xf>
    <xf numFmtId="168" fontId="14" fillId="13" borderId="39" xfId="1" applyFill="1">
      <alignment horizontal="center" vertical="center"/>
    </xf>
    <xf numFmtId="0" fontId="19" fillId="14" borderId="39" xfId="0" applyFont="1" applyFill="1" applyBorder="1" applyAlignment="1">
      <alignment horizontal="left" vertical="center" indent="1"/>
    </xf>
    <xf numFmtId="0" fontId="14" fillId="14" borderId="39" xfId="4" applyFill="1">
      <alignment horizontal="center" vertical="center"/>
    </xf>
    <xf numFmtId="9" fontId="25" fillId="14" borderId="39" xfId="5" applyFont="1" applyFill="1" applyBorder="1" applyAlignment="1">
      <alignment horizontal="center" vertical="center"/>
    </xf>
    <xf numFmtId="168" fontId="0" fillId="14" borderId="39" xfId="0" applyNumberFormat="1" applyFill="1" applyBorder="1" applyAlignment="1">
      <alignment horizontal="center" vertical="center"/>
    </xf>
    <xf numFmtId="168" fontId="25" fillId="14" borderId="39" xfId="0" applyNumberFormat="1" applyFont="1" applyFill="1" applyBorder="1" applyAlignment="1">
      <alignment horizontal="center" vertical="center"/>
    </xf>
    <xf numFmtId="0" fontId="14" fillId="15" borderId="39" xfId="6" applyFill="1">
      <alignment horizontal="left" vertical="center" indent="2"/>
    </xf>
    <xf numFmtId="0" fontId="14" fillId="15" borderId="39" xfId="4" applyFill="1">
      <alignment horizontal="center" vertical="center"/>
    </xf>
    <xf numFmtId="9" fontId="25" fillId="15" borderId="39" xfId="5" applyFont="1" applyFill="1" applyBorder="1" applyAlignment="1">
      <alignment horizontal="center" vertical="center"/>
    </xf>
    <xf numFmtId="168" fontId="14" fillId="15" borderId="39" xfId="1" applyFill="1">
      <alignment horizontal="center" vertical="center"/>
    </xf>
    <xf numFmtId="0" fontId="19" fillId="16" borderId="39" xfId="0" applyFont="1" applyFill="1" applyBorder="1" applyAlignment="1">
      <alignment horizontal="left" vertical="center" indent="1"/>
    </xf>
    <xf numFmtId="0" fontId="14" fillId="16" borderId="39" xfId="4" applyFill="1">
      <alignment horizontal="center" vertical="center"/>
    </xf>
    <xf numFmtId="9" fontId="25" fillId="16" borderId="39" xfId="5" applyFont="1" applyFill="1" applyBorder="1" applyAlignment="1">
      <alignment horizontal="center" vertical="center"/>
    </xf>
    <xf numFmtId="168" fontId="0" fillId="16" borderId="39" xfId="0" applyNumberFormat="1" applyFill="1" applyBorder="1" applyAlignment="1">
      <alignment horizontal="center" vertical="center"/>
    </xf>
    <xf numFmtId="168" fontId="25" fillId="16" borderId="39" xfId="0" applyNumberFormat="1" applyFont="1" applyFill="1" applyBorder="1" applyAlignment="1">
      <alignment horizontal="center" vertical="center"/>
    </xf>
    <xf numFmtId="0" fontId="14" fillId="17" borderId="39" xfId="6" applyFill="1">
      <alignment horizontal="left" vertical="center" indent="2"/>
    </xf>
    <xf numFmtId="0" fontId="14" fillId="17" borderId="39" xfId="4" applyFill="1">
      <alignment horizontal="center" vertical="center"/>
    </xf>
    <xf numFmtId="9" fontId="25" fillId="17" borderId="39" xfId="5" applyFont="1" applyFill="1" applyBorder="1" applyAlignment="1">
      <alignment horizontal="center" vertical="center"/>
    </xf>
    <xf numFmtId="168" fontId="14" fillId="17" borderId="39" xfId="1" applyFill="1">
      <alignment horizontal="center" vertical="center"/>
    </xf>
    <xf numFmtId="0" fontId="14" fillId="0" borderId="39" xfId="6">
      <alignment horizontal="left" vertical="center" indent="2"/>
    </xf>
    <xf numFmtId="0" fontId="14" fillId="0" borderId="39" xfId="4">
      <alignment horizontal="center" vertical="center"/>
    </xf>
    <xf numFmtId="9" fontId="25" fillId="0" borderId="39" xfId="5" applyFont="1" applyBorder="1" applyAlignment="1">
      <alignment horizontal="center" vertical="center"/>
    </xf>
    <xf numFmtId="168" fontId="14" fillId="0" borderId="39" xfId="1">
      <alignment horizontal="center" vertical="center"/>
    </xf>
    <xf numFmtId="0" fontId="26" fillId="18" borderId="39" xfId="0" applyFont="1" applyFill="1" applyBorder="1" applyAlignment="1">
      <alignment horizontal="left" vertical="center" indent="1"/>
    </xf>
    <xf numFmtId="0" fontId="26" fillId="18" borderId="39" xfId="0" applyFont="1" applyFill="1" applyBorder="1" applyAlignment="1">
      <alignment horizontal="center" vertical="center"/>
    </xf>
    <xf numFmtId="9" fontId="25" fillId="18" borderId="39" xfId="5" applyFont="1" applyFill="1" applyBorder="1" applyAlignment="1">
      <alignment horizontal="center" vertical="center"/>
    </xf>
    <xf numFmtId="168" fontId="27" fillId="18" borderId="39" xfId="0" applyNumberFormat="1" applyFont="1" applyFill="1" applyBorder="1" applyAlignment="1">
      <alignment horizontal="left" vertical="center"/>
    </xf>
    <xf numFmtId="168" fontId="25" fillId="18" borderId="39" xfId="0" applyNumberFormat="1" applyFont="1" applyFill="1" applyBorder="1" applyAlignment="1">
      <alignment horizontal="center" vertical="center"/>
    </xf>
    <xf numFmtId="0" fontId="25" fillId="18" borderId="39" xfId="0" applyFont="1" applyFill="1" applyBorder="1" applyAlignment="1">
      <alignment horizontal="center" vertical="center"/>
    </xf>
    <xf numFmtId="0" fontId="0" fillId="18" borderId="38" xfId="0" applyFill="1" applyBorder="1" applyAlignment="1">
      <alignment vertical="center"/>
    </xf>
    <xf numFmtId="0" fontId="0" fillId="0" borderId="0" xfId="0" applyAlignment="1">
      <alignment horizontal="right" vertical="center"/>
    </xf>
    <xf numFmtId="0" fontId="28" fillId="0" borderId="0" xfId="0" applyFont="1"/>
    <xf numFmtId="0" fontId="15" fillId="0" borderId="0" xfId="0" applyFont="1" applyAlignment="1">
      <alignment horizontal="center"/>
    </xf>
    <xf numFmtId="0" fontId="29" fillId="0" borderId="0" xfId="2" applyFont="1" applyAlignment="1" applyProtection="1"/>
    <xf numFmtId="0" fontId="17" fillId="0" borderId="21" xfId="8" applyAlignment="1">
      <alignment vertical="top" wrapText="1"/>
    </xf>
    <xf numFmtId="0" fontId="4" fillId="0" borderId="0" xfId="0" applyFont="1"/>
    <xf numFmtId="0" fontId="4" fillId="6" borderId="0" xfId="11" applyFill="1"/>
    <xf numFmtId="0" fontId="4" fillId="6" borderId="0" xfId="11" applyFill="1" applyAlignment="1">
      <alignment horizontal="center"/>
    </xf>
    <xf numFmtId="0" fontId="0" fillId="6" borderId="0" xfId="0" applyFill="1"/>
    <xf numFmtId="0" fontId="4" fillId="6" borderId="54" xfId="0" applyFont="1" applyFill="1" applyBorder="1"/>
    <xf numFmtId="0" fontId="0" fillId="6" borderId="9" xfId="0" applyFill="1" applyBorder="1"/>
    <xf numFmtId="0" fontId="0" fillId="6" borderId="10" xfId="0" applyFill="1" applyBorder="1"/>
    <xf numFmtId="0" fontId="4" fillId="6" borderId="9" xfId="0" applyFont="1" applyFill="1" applyBorder="1"/>
    <xf numFmtId="0" fontId="4" fillId="6" borderId="5" xfId="0" applyFont="1" applyFill="1" applyBorder="1"/>
    <xf numFmtId="0" fontId="0" fillId="6" borderId="6" xfId="0" applyFill="1" applyBorder="1"/>
    <xf numFmtId="0" fontId="4" fillId="6" borderId="0" xfId="0" applyFont="1" applyFill="1"/>
    <xf numFmtId="0" fontId="4" fillId="0" borderId="40" xfId="0" applyFont="1" applyBorder="1"/>
    <xf numFmtId="0" fontId="4" fillId="6" borderId="55" xfId="0" applyFont="1" applyFill="1" applyBorder="1"/>
    <xf numFmtId="0" fontId="0" fillId="6" borderId="11" xfId="0" applyFill="1" applyBorder="1"/>
    <xf numFmtId="0" fontId="0" fillId="6" borderId="12" xfId="0" applyFill="1" applyBorder="1"/>
    <xf numFmtId="0" fontId="4" fillId="22" borderId="3" xfId="0" applyFont="1" applyFill="1" applyBorder="1"/>
    <xf numFmtId="0" fontId="0" fillId="22" borderId="53" xfId="0" applyFill="1" applyBorder="1"/>
    <xf numFmtId="0" fontId="4" fillId="22" borderId="2" xfId="0" applyFont="1" applyFill="1" applyBorder="1"/>
    <xf numFmtId="0" fontId="4" fillId="22" borderId="44" xfId="0" applyFont="1" applyFill="1" applyBorder="1"/>
    <xf numFmtId="0" fontId="4" fillId="22" borderId="40" xfId="0" applyFont="1" applyFill="1" applyBorder="1"/>
    <xf numFmtId="0" fontId="4" fillId="22" borderId="52" xfId="0" applyFont="1" applyFill="1" applyBorder="1"/>
    <xf numFmtId="0" fontId="31" fillId="6" borderId="0" xfId="0" applyFont="1" applyFill="1" applyAlignment="1">
      <alignment horizontal="left" vertical="center"/>
    </xf>
    <xf numFmtId="14" fontId="13" fillId="6" borderId="0" xfId="0" applyNumberFormat="1" applyFont="1" applyFill="1" applyAlignment="1">
      <alignment horizontal="center" vertical="center" wrapText="1"/>
    </xf>
    <xf numFmtId="0" fontId="13" fillId="6" borderId="0" xfId="0" applyFont="1" applyFill="1" applyAlignment="1">
      <alignment horizontal="center" vertical="center" wrapText="1"/>
    </xf>
    <xf numFmtId="0" fontId="30" fillId="6" borderId="0" xfId="0" applyFont="1" applyFill="1" applyAlignment="1">
      <alignment horizontal="left" vertical="center" wrapText="1"/>
    </xf>
    <xf numFmtId="0" fontId="30" fillId="6" borderId="0" xfId="0" applyFont="1" applyFill="1" applyAlignment="1">
      <alignment horizontal="center" vertical="center" wrapText="1"/>
    </xf>
    <xf numFmtId="0" fontId="31" fillId="6" borderId="0" xfId="0" applyFont="1" applyFill="1" applyAlignment="1">
      <alignment horizontal="left" vertical="center" wrapText="1"/>
    </xf>
    <xf numFmtId="0" fontId="30" fillId="6" borderId="0" xfId="0" applyFont="1" applyFill="1" applyAlignment="1">
      <alignment horizontal="left" vertical="center"/>
    </xf>
    <xf numFmtId="14" fontId="4" fillId="0" borderId="42" xfId="0" applyNumberFormat="1" applyFont="1" applyBorder="1"/>
    <xf numFmtId="0" fontId="4" fillId="0" borderId="49" xfId="0" applyFont="1" applyBorder="1"/>
    <xf numFmtId="0" fontId="13" fillId="0" borderId="57" xfId="0" applyFont="1" applyBorder="1" applyAlignment="1">
      <alignment horizontal="center" vertical="center" wrapText="1"/>
    </xf>
    <xf numFmtId="14" fontId="13" fillId="0" borderId="57" xfId="0" applyNumberFormat="1" applyFont="1" applyBorder="1" applyAlignment="1">
      <alignment horizontal="center" vertical="top" wrapText="1"/>
    </xf>
    <xf numFmtId="0" fontId="13" fillId="0" borderId="57" xfId="0" applyFont="1" applyBorder="1" applyAlignment="1">
      <alignment horizontal="center" vertical="top" wrapText="1"/>
    </xf>
    <xf numFmtId="0" fontId="36" fillId="5" borderId="57" xfId="0" applyFont="1" applyFill="1" applyBorder="1" applyAlignment="1">
      <alignment horizontal="center" vertical="center" wrapText="1"/>
    </xf>
    <xf numFmtId="0" fontId="36" fillId="5" borderId="57" xfId="0" applyFont="1" applyFill="1" applyBorder="1" applyAlignment="1">
      <alignment horizontal="left" vertical="center" wrapText="1"/>
    </xf>
    <xf numFmtId="0" fontId="0" fillId="0" borderId="57" xfId="0" applyBorder="1"/>
    <xf numFmtId="14" fontId="13" fillId="6" borderId="57" xfId="0" applyNumberFormat="1" applyFont="1" applyFill="1" applyBorder="1" applyAlignment="1">
      <alignment horizontal="center" vertical="center" wrapText="1"/>
    </xf>
    <xf numFmtId="0" fontId="13" fillId="6" borderId="57" xfId="0" applyFont="1" applyFill="1" applyBorder="1" applyAlignment="1">
      <alignment horizontal="center" vertical="center" wrapText="1"/>
    </xf>
    <xf numFmtId="0" fontId="13" fillId="5" borderId="57" xfId="0" applyFont="1" applyFill="1" applyBorder="1" applyAlignment="1">
      <alignment horizontal="left" vertical="center" wrapText="1"/>
    </xf>
    <xf numFmtId="0" fontId="13" fillId="5" borderId="57" xfId="0" applyFont="1" applyFill="1" applyBorder="1" applyAlignment="1">
      <alignment horizontal="center" vertical="center" wrapText="1"/>
    </xf>
    <xf numFmtId="0" fontId="37" fillId="24" borderId="1" xfId="0" applyFont="1" applyFill="1" applyBorder="1"/>
    <xf numFmtId="0" fontId="0" fillId="23" borderId="0" xfId="0" applyFill="1"/>
    <xf numFmtId="0" fontId="4" fillId="23" borderId="0" xfId="0" applyFont="1" applyFill="1"/>
    <xf numFmtId="14" fontId="36" fillId="5" borderId="57" xfId="0" applyNumberFormat="1" applyFont="1" applyFill="1" applyBorder="1" applyAlignment="1">
      <alignment horizontal="center" vertical="center" wrapText="1"/>
    </xf>
    <xf numFmtId="14" fontId="13" fillId="5" borderId="57" xfId="0" applyNumberFormat="1" applyFont="1" applyFill="1" applyBorder="1" applyAlignment="1">
      <alignment horizontal="center" vertical="center" wrapText="1"/>
    </xf>
    <xf numFmtId="14" fontId="4" fillId="0" borderId="42" xfId="0" applyNumberFormat="1" applyFont="1" applyBorder="1" applyAlignment="1">
      <alignment horizontal="right"/>
    </xf>
    <xf numFmtId="14" fontId="32" fillId="6" borderId="57" xfId="0" applyNumberFormat="1" applyFont="1" applyFill="1" applyBorder="1" applyAlignment="1">
      <alignment horizontal="right" vertical="center" wrapText="1"/>
    </xf>
    <xf numFmtId="0" fontId="32" fillId="25" borderId="1" xfId="0" applyFont="1" applyFill="1" applyBorder="1"/>
    <xf numFmtId="0" fontId="32" fillId="25" borderId="43" xfId="0" applyFont="1" applyFill="1" applyBorder="1"/>
    <xf numFmtId="0" fontId="0" fillId="0" borderId="42" xfId="0" applyBorder="1"/>
    <xf numFmtId="0" fontId="0" fillId="0" borderId="49" xfId="0" applyBorder="1"/>
    <xf numFmtId="14" fontId="0" fillId="0" borderId="49" xfId="0" applyNumberFormat="1" applyBorder="1"/>
    <xf numFmtId="0" fontId="4" fillId="0" borderId="42" xfId="0" applyFont="1" applyBorder="1"/>
    <xf numFmtId="14" fontId="0" fillId="0" borderId="0" xfId="0" applyNumberFormat="1"/>
    <xf numFmtId="14" fontId="32" fillId="0" borderId="57" xfId="0" applyNumberFormat="1" applyFont="1" applyBorder="1" applyAlignment="1">
      <alignment horizontal="right" vertical="top" wrapText="1"/>
    </xf>
    <xf numFmtId="0" fontId="38" fillId="0" borderId="0" xfId="0" applyFont="1"/>
    <xf numFmtId="14" fontId="38" fillId="0" borderId="0" xfId="0" applyNumberFormat="1" applyFont="1"/>
    <xf numFmtId="0" fontId="4" fillId="0" borderId="5" xfId="0" applyFont="1" applyBorder="1"/>
    <xf numFmtId="0" fontId="4" fillId="0" borderId="6" xfId="0" applyFont="1" applyBorder="1"/>
    <xf numFmtId="14" fontId="13" fillId="0" borderId="0" xfId="0" applyNumberFormat="1" applyFont="1" applyAlignment="1">
      <alignment horizontal="center" vertical="top" wrapText="1"/>
    </xf>
    <xf numFmtId="14" fontId="0" fillId="0" borderId="42" xfId="0" applyNumberFormat="1" applyBorder="1"/>
    <xf numFmtId="0" fontId="31" fillId="0" borderId="59" xfId="0" applyFont="1" applyBorder="1"/>
    <xf numFmtId="0" fontId="31" fillId="0" borderId="61" xfId="0" applyFont="1" applyBorder="1"/>
    <xf numFmtId="0" fontId="31" fillId="0" borderId="45" xfId="0" applyFont="1" applyBorder="1"/>
    <xf numFmtId="14" fontId="32" fillId="0" borderId="62" xfId="0" applyNumberFormat="1" applyFont="1" applyBorder="1" applyAlignment="1">
      <alignment horizontal="right" vertical="top" wrapText="1"/>
    </xf>
    <xf numFmtId="0" fontId="0" fillId="23" borderId="63" xfId="0" applyFill="1" applyBorder="1" applyAlignment="1">
      <alignment horizontal="center"/>
    </xf>
    <xf numFmtId="0" fontId="0" fillId="23" borderId="64" xfId="0" applyFill="1" applyBorder="1" applyAlignment="1">
      <alignment horizontal="center"/>
    </xf>
    <xf numFmtId="0" fontId="0" fillId="23" borderId="58" xfId="0" applyFill="1" applyBorder="1" applyAlignment="1"/>
    <xf numFmtId="0" fontId="0" fillId="23" borderId="49" xfId="0" applyFill="1" applyBorder="1" applyAlignment="1"/>
    <xf numFmtId="0" fontId="39" fillId="0" borderId="0" xfId="0" applyFont="1"/>
    <xf numFmtId="0" fontId="0" fillId="23" borderId="56" xfId="0" applyFill="1" applyBorder="1" applyAlignment="1">
      <alignment horizontal="center"/>
    </xf>
    <xf numFmtId="0" fontId="0" fillId="23" borderId="43" xfId="0" applyFill="1" applyBorder="1" applyAlignment="1">
      <alignment horizontal="center"/>
    </xf>
    <xf numFmtId="0" fontId="31" fillId="0" borderId="60" xfId="0" applyFont="1" applyBorder="1" applyAlignment="1"/>
    <xf numFmtId="0" fontId="31" fillId="0" borderId="43" xfId="0" applyFont="1" applyBorder="1" applyAlignment="1"/>
    <xf numFmtId="0" fontId="4" fillId="23" borderId="56" xfId="0" applyFont="1" applyFill="1" applyBorder="1" applyAlignment="1">
      <alignment horizontal="center"/>
    </xf>
    <xf numFmtId="0" fontId="4" fillId="23" borderId="43" xfId="0" applyFont="1" applyFill="1" applyBorder="1" applyAlignment="1">
      <alignment horizontal="center"/>
    </xf>
    <xf numFmtId="0" fontId="31" fillId="0" borderId="56" xfId="0" applyFont="1" applyBorder="1" applyAlignment="1"/>
    <xf numFmtId="0" fontId="7" fillId="11" borderId="47" xfId="0" applyFont="1" applyFill="1" applyBorder="1" applyAlignment="1">
      <alignment horizontal="center"/>
    </xf>
    <xf numFmtId="0" fontId="7" fillId="11" borderId="8" xfId="0" applyFont="1" applyFill="1" applyBorder="1" applyAlignment="1">
      <alignment horizontal="center"/>
    </xf>
    <xf numFmtId="166" fontId="0" fillId="7" borderId="32" xfId="0" applyNumberFormat="1" applyFill="1" applyBorder="1" applyAlignment="1">
      <alignment horizontal="left" vertical="center" wrapText="1" indent="1"/>
    </xf>
    <xf numFmtId="166" fontId="0" fillId="7" borderId="33" xfId="0" applyNumberFormat="1" applyFill="1" applyBorder="1" applyAlignment="1">
      <alignment horizontal="left" vertical="center" wrapText="1" indent="1"/>
    </xf>
    <xf numFmtId="166" fontId="0" fillId="7" borderId="34" xfId="0" applyNumberFormat="1" applyFill="1" applyBorder="1" applyAlignment="1">
      <alignment horizontal="left" vertical="center" wrapText="1" indent="1"/>
    </xf>
    <xf numFmtId="0" fontId="18" fillId="0" borderId="22" xfId="9" applyAlignment="1">
      <alignment horizontal="right" indent="1"/>
    </xf>
    <xf numFmtId="0" fontId="18" fillId="0" borderId="30" xfId="9" applyBorder="1" applyAlignment="1">
      <alignment horizontal="right" indent="1"/>
    </xf>
    <xf numFmtId="165" fontId="14" fillId="0" borderId="31" xfId="3" applyAlignment="1">
      <alignment horizontal="center" vertical="center"/>
    </xf>
    <xf numFmtId="0" fontId="6" fillId="4" borderId="13" xfId="0" applyFont="1" applyFill="1" applyBorder="1" applyAlignment="1">
      <alignment horizontal="center" vertical="center" wrapText="1"/>
    </xf>
    <xf numFmtId="0" fontId="0" fillId="0" borderId="14" xfId="0" applyBorder="1" applyAlignment="1"/>
    <xf numFmtId="0" fontId="0" fillId="0" borderId="15" xfId="0" applyBorder="1" applyAlignment="1"/>
    <xf numFmtId="0" fontId="11" fillId="3" borderId="16" xfId="0" applyFont="1" applyFill="1" applyBorder="1" applyAlignment="1">
      <alignment horizontal="center" vertical="center" wrapText="1"/>
    </xf>
    <xf numFmtId="0" fontId="11" fillId="3" borderId="17" xfId="0" applyFont="1" applyFill="1" applyBorder="1" applyAlignment="1">
      <alignment horizontal="center" vertical="center" wrapText="1"/>
    </xf>
    <xf numFmtId="0" fontId="4" fillId="0" borderId="18" xfId="0" applyFont="1" applyBorder="1" applyAlignment="1">
      <alignment horizontal="center" wrapText="1"/>
    </xf>
    <xf numFmtId="0" fontId="0" fillId="0" borderId="19" xfId="0" applyBorder="1" applyAlignment="1"/>
    <xf numFmtId="0" fontId="0" fillId="0" borderId="20" xfId="0" applyBorder="1" applyAlignment="1"/>
    <xf numFmtId="0" fontId="4" fillId="0" borderId="18" xfId="0" applyFont="1" applyBorder="1" applyAlignment="1">
      <alignment horizontal="center"/>
    </xf>
    <xf numFmtId="0" fontId="6" fillId="4" borderId="13" xfId="0" quotePrefix="1" applyFont="1" applyFill="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vertical="center" wrapText="1"/>
    </xf>
    <xf numFmtId="49" fontId="42" fillId="0" borderId="0" xfId="0" applyNumberFormat="1" applyFont="1" applyAlignment="1">
      <alignment vertical="center" wrapText="1"/>
    </xf>
    <xf numFmtId="0" fontId="5" fillId="0" borderId="0" xfId="0" applyFont="1" applyAlignment="1">
      <alignment horizontal="left" vertical="center" wrapText="1"/>
    </xf>
    <xf numFmtId="0" fontId="5" fillId="0" borderId="42" xfId="0" applyFont="1" applyFill="1" applyBorder="1" applyAlignment="1">
      <alignment horizontal="center" vertical="center" wrapText="1"/>
    </xf>
    <xf numFmtId="0" fontId="5" fillId="0" borderId="49" xfId="0" applyFont="1" applyBorder="1" applyAlignment="1">
      <alignment horizontal="center" vertical="center" wrapText="1"/>
    </xf>
    <xf numFmtId="49" fontId="5" fillId="0" borderId="50" xfId="0" applyNumberFormat="1" applyFont="1" applyBorder="1" applyAlignment="1">
      <alignment vertical="center" wrapText="1" shrinkToFit="1"/>
    </xf>
    <xf numFmtId="0" fontId="5" fillId="0" borderId="42" xfId="0" applyNumberFormat="1" applyFont="1" applyBorder="1" applyAlignment="1">
      <alignment vertical="center" wrapText="1" shrinkToFit="1"/>
    </xf>
    <xf numFmtId="0" fontId="43" fillId="0" borderId="42" xfId="0" applyFont="1" applyBorder="1" applyAlignment="1">
      <alignment horizontal="center" vertical="center" wrapText="1"/>
    </xf>
    <xf numFmtId="49" fontId="42" fillId="0" borderId="58" xfId="0" applyNumberFormat="1" applyFont="1" applyFill="1" applyBorder="1" applyAlignment="1">
      <alignment horizontal="center" vertical="center" wrapText="1"/>
    </xf>
    <xf numFmtId="0" fontId="42" fillId="0" borderId="42" xfId="0" applyFont="1" applyFill="1" applyBorder="1" applyAlignment="1">
      <alignment horizontal="center" vertical="center" wrapText="1"/>
    </xf>
    <xf numFmtId="0" fontId="42" fillId="0" borderId="49" xfId="0" applyFont="1" applyFill="1" applyBorder="1" applyAlignment="1">
      <alignment horizontal="center" vertical="center" wrapText="1"/>
    </xf>
    <xf numFmtId="0" fontId="5" fillId="0" borderId="49" xfId="0" applyFont="1" applyFill="1" applyBorder="1" applyAlignment="1">
      <alignment horizontal="center" vertical="center" wrapText="1"/>
    </xf>
    <xf numFmtId="0" fontId="5" fillId="0" borderId="65" xfId="0" applyFont="1" applyFill="1" applyBorder="1" applyAlignment="1">
      <alignment horizontal="center" vertical="center" wrapText="1"/>
    </xf>
    <xf numFmtId="0" fontId="4" fillId="0" borderId="44" xfId="0" applyFont="1" applyBorder="1" applyAlignment="1">
      <alignment horizontal="center" vertical="center" wrapText="1"/>
    </xf>
    <xf numFmtId="0" fontId="4" fillId="0" borderId="2" xfId="0" applyFont="1" applyBorder="1" applyAlignment="1">
      <alignment horizontal="center" vertical="center" wrapText="1"/>
    </xf>
    <xf numFmtId="0" fontId="4" fillId="0" borderId="0" xfId="0" applyFont="1" applyAlignment="1">
      <alignment horizontal="center" vertical="center" wrapText="1"/>
    </xf>
    <xf numFmtId="0" fontId="4" fillId="0" borderId="52" xfId="0" applyFont="1" applyBorder="1" applyAlignment="1">
      <alignment horizontal="center" vertical="center" wrapText="1"/>
    </xf>
    <xf numFmtId="0" fontId="4" fillId="0" borderId="40" xfId="0" applyFont="1" applyBorder="1" applyAlignment="1">
      <alignment horizontal="center" vertical="center" wrapText="1"/>
    </xf>
    <xf numFmtId="0" fontId="5" fillId="0" borderId="0" xfId="0" applyFont="1" applyAlignment="1" applyProtection="1">
      <alignment horizontal="center" vertical="center" wrapText="1"/>
      <protection locked="0"/>
    </xf>
    <xf numFmtId="0" fontId="0" fillId="0" borderId="44" xfId="0" applyBorder="1" applyAlignment="1">
      <alignment horizontal="center" wrapText="1"/>
    </xf>
    <xf numFmtId="0" fontId="0" fillId="0" borderId="2" xfId="0" applyBorder="1" applyAlignment="1">
      <alignment wrapText="1"/>
    </xf>
    <xf numFmtId="0" fontId="42" fillId="26" borderId="12" xfId="0" applyFont="1" applyFill="1" applyBorder="1" applyAlignment="1" applyProtection="1">
      <alignment horizontal="center" vertical="center" wrapText="1"/>
      <protection locked="0"/>
    </xf>
    <xf numFmtId="0" fontId="42" fillId="26" borderId="66" xfId="0" applyFont="1" applyFill="1" applyBorder="1" applyAlignment="1" applyProtection="1">
      <alignment horizontal="center" vertical="center" wrapText="1"/>
      <protection locked="0"/>
    </xf>
    <xf numFmtId="0" fontId="44" fillId="26" borderId="67" xfId="0" applyFont="1" applyFill="1" applyBorder="1" applyAlignment="1" applyProtection="1">
      <alignment horizontal="center" vertical="center" wrapText="1"/>
      <protection locked="0"/>
    </xf>
    <xf numFmtId="0" fontId="42" fillId="26" borderId="67" xfId="0" applyFont="1" applyFill="1" applyBorder="1" applyAlignment="1" applyProtection="1">
      <alignment horizontal="center" vertical="center" wrapText="1"/>
      <protection locked="0"/>
    </xf>
    <xf numFmtId="49" fontId="44" fillId="26" borderId="55" xfId="0" applyNumberFormat="1" applyFont="1" applyFill="1" applyBorder="1" applyAlignment="1" applyProtection="1">
      <alignment horizontal="center" vertical="center" wrapText="1"/>
      <protection locked="0"/>
    </xf>
    <xf numFmtId="0" fontId="42" fillId="26" borderId="7" xfId="0" applyFont="1" applyFill="1" applyBorder="1" applyAlignment="1" applyProtection="1">
      <alignment horizontal="center" vertical="center" wrapText="1"/>
      <protection locked="0"/>
    </xf>
    <xf numFmtId="0" fontId="44" fillId="26" borderId="7" xfId="0" applyFont="1" applyFill="1" applyBorder="1" applyAlignment="1" applyProtection="1">
      <alignment horizontal="center" vertical="center" wrapText="1"/>
      <protection locked="0"/>
    </xf>
    <xf numFmtId="0" fontId="42" fillId="26" borderId="67" xfId="0" applyFont="1" applyFill="1" applyBorder="1" applyAlignment="1">
      <alignment horizontal="center" vertical="center" wrapText="1"/>
    </xf>
    <xf numFmtId="0" fontId="42" fillId="26" borderId="67" xfId="0" applyFont="1" applyFill="1" applyBorder="1" applyAlignment="1">
      <alignment horizontal="center" vertical="center" wrapText="1"/>
    </xf>
    <xf numFmtId="0" fontId="42" fillId="26" borderId="10" xfId="0" applyFont="1" applyFill="1" applyBorder="1" applyAlignment="1" applyProtection="1">
      <alignment horizontal="center" vertical="center" wrapText="1"/>
      <protection locked="0"/>
    </xf>
    <xf numFmtId="0" fontId="42" fillId="26" borderId="9" xfId="0" applyFont="1" applyFill="1" applyBorder="1" applyAlignment="1">
      <alignment horizontal="center" vertical="center" wrapText="1"/>
    </xf>
    <xf numFmtId="0" fontId="44" fillId="26" borderId="68" xfId="0" applyFont="1" applyFill="1" applyBorder="1" applyAlignment="1" applyProtection="1">
      <alignment horizontal="center" vertical="center" wrapText="1"/>
      <protection locked="0"/>
    </xf>
    <xf numFmtId="0" fontId="42" fillId="26" borderId="68" xfId="0" applyFont="1" applyFill="1" applyBorder="1" applyAlignment="1" applyProtection="1">
      <alignment horizontal="center" vertical="center" wrapText="1"/>
      <protection locked="0"/>
    </xf>
    <xf numFmtId="49" fontId="44" fillId="26" borderId="54" xfId="0" applyNumberFormat="1" applyFont="1" applyFill="1" applyBorder="1" applyAlignment="1" applyProtection="1">
      <alignment horizontal="center" vertical="center" wrapText="1"/>
      <protection locked="0"/>
    </xf>
    <xf numFmtId="0" fontId="42" fillId="26" borderId="8" xfId="0" applyFont="1" applyFill="1" applyBorder="1" applyAlignment="1">
      <alignment horizontal="center" vertical="center" wrapText="1"/>
    </xf>
    <xf numFmtId="0" fontId="42" fillId="26" borderId="16" xfId="0" applyFont="1" applyFill="1" applyBorder="1" applyAlignment="1">
      <alignment horizontal="center" vertical="center" wrapText="1"/>
    </xf>
    <xf numFmtId="0" fontId="42" fillId="26" borderId="47" xfId="0" applyFont="1" applyFill="1" applyBorder="1" applyAlignment="1">
      <alignment horizontal="center" vertical="center" wrapText="1"/>
    </xf>
    <xf numFmtId="0" fontId="42" fillId="26" borderId="54" xfId="0" applyFont="1" applyFill="1" applyBorder="1" applyAlignment="1">
      <alignment horizontal="center" vertical="center" wrapText="1"/>
    </xf>
    <xf numFmtId="0" fontId="42" fillId="26" borderId="68" xfId="0" applyFont="1" applyFill="1" applyBorder="1" applyAlignment="1">
      <alignment horizontal="center" vertical="center" wrapText="1"/>
    </xf>
    <xf numFmtId="0" fontId="0" fillId="0" borderId="50" xfId="0" applyBorder="1" applyAlignment="1">
      <alignment horizontal="center" wrapText="1"/>
    </xf>
    <xf numFmtId="0" fontId="0" fillId="0" borderId="65" xfId="0" applyBorder="1" applyAlignment="1">
      <alignment wrapText="1"/>
    </xf>
    <xf numFmtId="0" fontId="5" fillId="0" borderId="12"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1" xfId="0" applyFont="1" applyBorder="1" applyAlignment="1">
      <alignment vertical="center" wrapText="1"/>
    </xf>
    <xf numFmtId="0" fontId="46" fillId="0" borderId="11" xfId="0" applyFont="1" applyBorder="1" applyAlignment="1">
      <alignment horizontal="center" vertical="center" wrapText="1"/>
    </xf>
    <xf numFmtId="0" fontId="46" fillId="0" borderId="55" xfId="0" applyFont="1" applyBorder="1" applyAlignment="1">
      <alignment horizontal="center" vertical="center" wrapText="1"/>
    </xf>
    <xf numFmtId="0" fontId="0" fillId="27" borderId="6" xfId="0" applyFill="1" applyBorder="1" applyAlignment="1">
      <alignment horizontal="center" wrapText="1"/>
    </xf>
    <xf numFmtId="0" fontId="0" fillId="27" borderId="5" xfId="0" applyFill="1" applyBorder="1" applyAlignment="1">
      <alignment horizontal="center" wrapText="1"/>
    </xf>
    <xf numFmtId="0" fontId="0" fillId="27" borderId="69" xfId="0" applyFill="1" applyBorder="1" applyAlignment="1">
      <alignment horizontal="center" wrapText="1"/>
    </xf>
    <xf numFmtId="0" fontId="0" fillId="27" borderId="70" xfId="0" applyFill="1" applyBorder="1" applyAlignment="1">
      <alignment horizontal="center" wrapText="1"/>
    </xf>
    <xf numFmtId="0" fontId="5" fillId="0" borderId="6" xfId="0" applyFont="1" applyBorder="1" applyAlignment="1">
      <alignment horizontal="center" vertical="center" wrapText="1"/>
    </xf>
    <xf numFmtId="0" fontId="5" fillId="0" borderId="0" xfId="0" applyFont="1" applyBorder="1" applyAlignment="1">
      <alignment horizontal="center" vertical="center" wrapText="1"/>
    </xf>
    <xf numFmtId="0" fontId="5" fillId="0" borderId="0" xfId="0" applyFont="1" applyBorder="1" applyAlignment="1">
      <alignment vertical="center" wrapText="1"/>
    </xf>
    <xf numFmtId="49" fontId="42" fillId="0" borderId="0" xfId="0" applyNumberFormat="1" applyFont="1" applyBorder="1" applyAlignment="1">
      <alignment vertical="center" wrapText="1"/>
    </xf>
    <xf numFmtId="0" fontId="46" fillId="0" borderId="0" xfId="0" applyFont="1" applyBorder="1" applyAlignment="1">
      <alignment horizontal="center" vertical="center" wrapText="1"/>
    </xf>
    <xf numFmtId="0" fontId="46" fillId="0" borderId="5" xfId="0" applyFont="1" applyBorder="1" applyAlignment="1">
      <alignment horizontal="center" vertical="center" wrapText="1"/>
    </xf>
    <xf numFmtId="0" fontId="5" fillId="0" borderId="0" xfId="0" quotePrefix="1" applyFont="1" applyBorder="1" applyAlignment="1">
      <alignment vertical="center" wrapText="1"/>
    </xf>
    <xf numFmtId="0" fontId="0" fillId="27" borderId="8" xfId="0" applyFill="1" applyBorder="1" applyAlignment="1">
      <alignment horizontal="center" wrapText="1"/>
    </xf>
    <xf numFmtId="0" fontId="0" fillId="27" borderId="47" xfId="0" applyFill="1" applyBorder="1" applyAlignment="1">
      <alignment horizontal="center" wrapText="1"/>
    </xf>
    <xf numFmtId="0" fontId="0" fillId="27" borderId="51" xfId="0" applyFill="1" applyBorder="1" applyAlignment="1">
      <alignment horizontal="center" wrapText="1"/>
    </xf>
    <xf numFmtId="0" fontId="0" fillId="27" borderId="71" xfId="0" applyFill="1" applyBorder="1" applyAlignment="1">
      <alignment horizontal="center" wrapText="1"/>
    </xf>
    <xf numFmtId="0" fontId="5" fillId="0" borderId="10" xfId="0" applyFont="1" applyBorder="1" applyAlignment="1">
      <alignment horizontal="center" vertical="center" wrapText="1"/>
    </xf>
    <xf numFmtId="0" fontId="5" fillId="0" borderId="9" xfId="0" applyFont="1" applyBorder="1" applyAlignment="1">
      <alignment horizontal="center" vertical="center" wrapText="1"/>
    </xf>
    <xf numFmtId="0" fontId="5" fillId="0" borderId="9" xfId="0" applyFont="1" applyBorder="1" applyAlignment="1">
      <alignment vertical="center" wrapText="1"/>
    </xf>
    <xf numFmtId="49" fontId="42" fillId="0" borderId="9" xfId="0" applyNumberFormat="1" applyFont="1" applyBorder="1" applyAlignment="1">
      <alignment vertical="center" wrapText="1"/>
    </xf>
    <xf numFmtId="0" fontId="46" fillId="0" borderId="9" xfId="0" applyFont="1" applyBorder="1" applyAlignment="1">
      <alignment horizontal="center" vertical="center" wrapText="1"/>
    </xf>
    <xf numFmtId="0" fontId="46" fillId="0" borderId="54" xfId="0" applyFont="1" applyBorder="1" applyAlignment="1">
      <alignment horizontal="center" vertical="center" wrapText="1"/>
    </xf>
    <xf numFmtId="49" fontId="5" fillId="28" borderId="0" xfId="0" applyNumberFormat="1" applyFont="1" applyFill="1" applyAlignment="1">
      <alignment horizontal="left" vertical="center" wrapText="1"/>
    </xf>
    <xf numFmtId="9" fontId="42" fillId="29" borderId="1" xfId="21" applyFont="1" applyFill="1" applyBorder="1" applyAlignment="1">
      <alignment horizontal="center" vertical="center" wrapText="1"/>
    </xf>
    <xf numFmtId="2" fontId="42" fillId="26" borderId="44" xfId="0" applyNumberFormat="1" applyFont="1" applyFill="1" applyBorder="1" applyAlignment="1">
      <alignment horizontal="center" vertical="center" wrapText="1"/>
    </xf>
    <xf numFmtId="2" fontId="42" fillId="26" borderId="1" xfId="0" applyNumberFormat="1" applyFont="1" applyFill="1" applyBorder="1" applyAlignment="1">
      <alignment horizontal="center" vertical="center" wrapText="1"/>
    </xf>
    <xf numFmtId="49" fontId="42" fillId="0" borderId="1" xfId="0" applyNumberFormat="1" applyFont="1" applyFill="1" applyBorder="1" applyAlignment="1">
      <alignment horizontal="center" vertical="center" wrapText="1"/>
    </xf>
    <xf numFmtId="49" fontId="42" fillId="0" borderId="2" xfId="0" applyNumberFormat="1" applyFont="1" applyFill="1" applyBorder="1" applyAlignment="1">
      <alignment horizontal="center" vertical="center" wrapText="1"/>
    </xf>
    <xf numFmtId="0" fontId="42" fillId="0" borderId="48" xfId="0" applyFont="1" applyFill="1" applyBorder="1" applyAlignment="1">
      <alignment horizontal="center" vertical="center" wrapText="1"/>
    </xf>
    <xf numFmtId="0" fontId="5" fillId="0" borderId="72" xfId="0" applyFont="1" applyBorder="1" applyAlignment="1">
      <alignment horizontal="center" vertical="center" wrapText="1"/>
    </xf>
    <xf numFmtId="0" fontId="42" fillId="26" borderId="6" xfId="0" applyFont="1" applyFill="1" applyBorder="1" applyAlignment="1" applyProtection="1">
      <alignment horizontal="center" vertical="center" wrapText="1"/>
      <protection locked="0"/>
    </xf>
    <xf numFmtId="49" fontId="44" fillId="30" borderId="53" xfId="0" applyNumberFormat="1" applyFont="1" applyFill="1" applyBorder="1" applyAlignment="1" applyProtection="1">
      <alignment horizontal="center" vertical="center" wrapText="1"/>
      <protection locked="0"/>
    </xf>
    <xf numFmtId="49" fontId="44" fillId="30" borderId="4" xfId="0" applyNumberFormat="1" applyFont="1" applyFill="1" applyBorder="1" applyAlignment="1" applyProtection="1">
      <alignment horizontal="center" vertical="center" wrapText="1"/>
      <protection locked="0"/>
    </xf>
    <xf numFmtId="49" fontId="44" fillId="30" borderId="3" xfId="0" applyNumberFormat="1" applyFont="1" applyFill="1" applyBorder="1" applyAlignment="1" applyProtection="1">
      <alignment horizontal="center" vertical="center" wrapText="1"/>
      <protection locked="0"/>
    </xf>
    <xf numFmtId="0" fontId="42" fillId="30" borderId="67" xfId="0" applyFont="1" applyFill="1" applyBorder="1" applyAlignment="1" applyProtection="1">
      <alignment horizontal="center" vertical="center" wrapText="1"/>
      <protection locked="0"/>
    </xf>
    <xf numFmtId="49" fontId="44" fillId="30" borderId="10" xfId="0" applyNumberFormat="1" applyFont="1" applyFill="1" applyBorder="1" applyAlignment="1" applyProtection="1">
      <alignment horizontal="center" vertical="center" wrapText="1"/>
      <protection locked="0"/>
    </xf>
    <xf numFmtId="49" fontId="44" fillId="30" borderId="9" xfId="0" applyNumberFormat="1" applyFont="1" applyFill="1" applyBorder="1" applyAlignment="1" applyProtection="1">
      <alignment horizontal="center" vertical="center" wrapText="1"/>
      <protection locked="0"/>
    </xf>
    <xf numFmtId="49" fontId="44" fillId="30" borderId="54" xfId="0" applyNumberFormat="1" applyFont="1" applyFill="1" applyBorder="1" applyAlignment="1" applyProtection="1">
      <alignment horizontal="center" vertical="center" wrapText="1"/>
      <protection locked="0"/>
    </xf>
    <xf numFmtId="0" fontId="42" fillId="30" borderId="68" xfId="0" applyFont="1" applyFill="1" applyBorder="1" applyAlignment="1" applyProtection="1">
      <alignment horizontal="center" vertical="center" wrapText="1"/>
      <protection locked="0"/>
    </xf>
    <xf numFmtId="0" fontId="42" fillId="26" borderId="73" xfId="0" applyFont="1" applyFill="1" applyBorder="1" applyAlignment="1" applyProtection="1">
      <alignment horizontal="center" vertical="center" wrapText="1"/>
      <protection locked="0"/>
    </xf>
    <xf numFmtId="0" fontId="42" fillId="26" borderId="20" xfId="0" applyFont="1" applyFill="1" applyBorder="1" applyAlignment="1" applyProtection="1">
      <alignment horizontal="center" vertical="center" wrapText="1"/>
      <protection locked="0"/>
    </xf>
    <xf numFmtId="0" fontId="42" fillId="26" borderId="53" xfId="0" applyFont="1" applyFill="1" applyBorder="1" applyAlignment="1" applyProtection="1">
      <alignment horizontal="center" vertical="center" wrapText="1"/>
      <protection locked="0"/>
    </xf>
    <xf numFmtId="0" fontId="42" fillId="26" borderId="45" xfId="0" applyFont="1" applyFill="1" applyBorder="1" applyAlignment="1" applyProtection="1">
      <alignment horizontal="center" vertical="center" wrapText="1"/>
      <protection locked="0"/>
    </xf>
    <xf numFmtId="0" fontId="42" fillId="26" borderId="74" xfId="0" applyFont="1" applyFill="1" applyBorder="1" applyAlignment="1" applyProtection="1">
      <alignment horizontal="center" vertical="center" wrapText="1"/>
      <protection locked="0"/>
    </xf>
    <xf numFmtId="0" fontId="42" fillId="26" borderId="46" xfId="0" applyFont="1" applyFill="1" applyBorder="1" applyAlignment="1" applyProtection="1">
      <alignment horizontal="center" vertical="center" wrapText="1"/>
      <protection locked="0"/>
    </xf>
    <xf numFmtId="49" fontId="5" fillId="0" borderId="1" xfId="0" applyNumberFormat="1" applyFont="1" applyBorder="1" applyAlignment="1">
      <alignment horizontal="left" vertical="center" wrapText="1"/>
    </xf>
    <xf numFmtId="170" fontId="47" fillId="0" borderId="42" xfId="0" applyNumberFormat="1" applyFont="1" applyBorder="1" applyAlignment="1">
      <alignment horizontal="center" vertical="center" wrapText="1" shrinkToFit="1"/>
    </xf>
    <xf numFmtId="171" fontId="47" fillId="0" borderId="42" xfId="0" applyNumberFormat="1" applyFont="1" applyBorder="1" applyAlignment="1">
      <alignment horizontal="center" vertical="center" wrapText="1" shrinkToFit="1"/>
    </xf>
    <xf numFmtId="0" fontId="44" fillId="26" borderId="75" xfId="0" applyFont="1" applyFill="1" applyBorder="1" applyAlignment="1" applyProtection="1">
      <alignment horizontal="center" vertical="center" wrapText="1"/>
      <protection locked="0"/>
    </xf>
    <xf numFmtId="0" fontId="42" fillId="26" borderId="75" xfId="0" applyFont="1" applyFill="1" applyBorder="1" applyAlignment="1" applyProtection="1">
      <alignment horizontal="center" vertical="center" wrapText="1"/>
      <protection locked="0"/>
    </xf>
    <xf numFmtId="0" fontId="46" fillId="0" borderId="12" xfId="0" applyFont="1" applyBorder="1" applyAlignment="1">
      <alignment horizontal="center" vertical="center" wrapText="1"/>
    </xf>
    <xf numFmtId="0" fontId="46" fillId="0" borderId="10" xfId="0" applyFont="1" applyBorder="1" applyAlignment="1">
      <alignment horizontal="center" vertical="center" wrapText="1"/>
    </xf>
    <xf numFmtId="0" fontId="46" fillId="0" borderId="6" xfId="0" applyFont="1" applyBorder="1" applyAlignment="1">
      <alignment horizontal="center" vertical="center" wrapText="1"/>
    </xf>
    <xf numFmtId="0" fontId="1" fillId="0" borderId="0" xfId="22"/>
    <xf numFmtId="0" fontId="1" fillId="0" borderId="76" xfId="22" applyFont="1" applyBorder="1" applyAlignment="1">
      <alignment horizontal="left" vertical="center" wrapText="1"/>
    </xf>
    <xf numFmtId="0" fontId="1" fillId="0" borderId="77" xfId="22" applyFont="1" applyBorder="1" applyAlignment="1">
      <alignment horizontal="left" vertical="center" wrapText="1"/>
    </xf>
    <xf numFmtId="0" fontId="1" fillId="0" borderId="78" xfId="22" applyFont="1" applyBorder="1" applyAlignment="1">
      <alignment horizontal="left" vertical="center" wrapText="1"/>
    </xf>
    <xf numFmtId="0" fontId="1" fillId="0" borderId="79" xfId="22" applyFont="1" applyBorder="1" applyAlignment="1">
      <alignment horizontal="left" vertical="center" wrapText="1"/>
    </xf>
    <xf numFmtId="0" fontId="1" fillId="31" borderId="76" xfId="22" applyFont="1" applyFill="1" applyBorder="1" applyAlignment="1">
      <alignment horizontal="left" vertical="center" wrapText="1"/>
    </xf>
    <xf numFmtId="0" fontId="13" fillId="10" borderId="1" xfId="0" applyFont="1" applyFill="1" applyBorder="1"/>
    <xf numFmtId="0" fontId="0" fillId="0" borderId="1" xfId="0" applyBorder="1"/>
    <xf numFmtId="14" fontId="0" fillId="0" borderId="1" xfId="0" applyNumberFormat="1" applyBorder="1"/>
    <xf numFmtId="0" fontId="0" fillId="0" borderId="1" xfId="0" applyBorder="1" applyAlignment="1">
      <alignment horizontal="center" vertical="center"/>
    </xf>
    <xf numFmtId="0" fontId="0" fillId="0" borderId="1" xfId="0" applyBorder="1" applyAlignment="1">
      <alignment horizontal="center"/>
    </xf>
    <xf numFmtId="0" fontId="0" fillId="0" borderId="61" xfId="0" applyBorder="1"/>
    <xf numFmtId="0" fontId="0" fillId="0" borderId="80" xfId="0" applyBorder="1"/>
    <xf numFmtId="0" fontId="0" fillId="0" borderId="81" xfId="0" applyBorder="1"/>
    <xf numFmtId="0" fontId="0" fillId="0" borderId="56" xfId="0" applyBorder="1"/>
    <xf numFmtId="0" fontId="0" fillId="0" borderId="0" xfId="0" applyBorder="1"/>
    <xf numFmtId="0" fontId="0" fillId="0" borderId="72" xfId="0" applyBorder="1"/>
    <xf numFmtId="0" fontId="0" fillId="0" borderId="58" xfId="0" applyBorder="1"/>
    <xf numFmtId="0" fontId="0" fillId="0" borderId="43" xfId="0" applyBorder="1"/>
    <xf numFmtId="0" fontId="0" fillId="0" borderId="1" xfId="0" applyBorder="1" applyAlignment="1">
      <alignment horizontal="center"/>
    </xf>
    <xf numFmtId="9" fontId="0" fillId="0" borderId="1" xfId="0" applyNumberFormat="1" applyBorder="1" applyAlignment="1">
      <alignment horizontal="center"/>
    </xf>
    <xf numFmtId="0" fontId="38" fillId="0" borderId="1" xfId="0" applyFont="1" applyBorder="1"/>
    <xf numFmtId="0" fontId="38" fillId="10" borderId="1" xfId="0" applyFont="1" applyFill="1" applyBorder="1"/>
    <xf numFmtId="0" fontId="0" fillId="10" borderId="1" xfId="0" applyFill="1" applyBorder="1"/>
    <xf numFmtId="0" fontId="0" fillId="10" borderId="41" xfId="0" applyFill="1" applyBorder="1" applyAlignment="1">
      <alignment vertical="center"/>
    </xf>
    <xf numFmtId="0" fontId="0" fillId="10" borderId="1" xfId="0" applyFill="1" applyBorder="1" applyAlignment="1">
      <alignment horizontal="center"/>
    </xf>
    <xf numFmtId="0" fontId="40" fillId="10" borderId="0" xfId="0" applyFont="1" applyFill="1" applyAlignment="1">
      <alignment horizontal="center"/>
    </xf>
  </cellXfs>
  <cellStyles count="23">
    <cellStyle name="40% - Ênfase3 2" xfId="17" xr:uid="{2E1732D0-21A5-4FD5-A0FA-58950CD24079}"/>
    <cellStyle name="Data" xfId="1" xr:uid="{00000000-0005-0000-0000-000000000000}"/>
    <cellStyle name="Ênfase1 2" xfId="14" xr:uid="{BCDBC982-B276-447C-AA36-7BFFA994747A}"/>
    <cellStyle name="Ênfase2 2" xfId="16" xr:uid="{1F3BBD3C-EEE0-4C82-92A8-17D876527163}"/>
    <cellStyle name="Hiperlink" xfId="2" builtinId="8"/>
    <cellStyle name="Hiperlink 2" xfId="13" xr:uid="{0B5709AF-CB5E-4D1F-89FF-80FDEDCEA8EB}"/>
    <cellStyle name="Início do Projeto" xfId="3" xr:uid="{00000000-0005-0000-0000-000002000000}"/>
    <cellStyle name="Nome" xfId="4" xr:uid="{00000000-0005-0000-0000-000004000000}"/>
    <cellStyle name="Normal" xfId="0" builtinId="0"/>
    <cellStyle name="Normal 2" xfId="11" xr:uid="{4868D47C-44C3-4B12-8527-CC5A29EA757E}"/>
    <cellStyle name="Normal 3" xfId="15" xr:uid="{90DC9492-8557-4F8B-B218-614291E57F6F}"/>
    <cellStyle name="Normal 3 2 2" xfId="18" xr:uid="{76EDCE1B-A641-485D-ADEB-4C3E0F37A32E}"/>
    <cellStyle name="Normal 4" xfId="20" xr:uid="{00000000-0005-0000-0000-00003F000000}"/>
    <cellStyle name="Normal 5" xfId="22" xr:uid="{890A99A4-659F-49D2-B3FE-C3F0264FA86C}"/>
    <cellStyle name="Porcentagem" xfId="5" builtinId="5"/>
    <cellStyle name="Porcentagem 2" xfId="19" xr:uid="{DD4485E6-46B2-4568-8B1E-DB364132CBAA}"/>
    <cellStyle name="Porcentagem 3" xfId="21" xr:uid="{F3ABDD99-1653-4044-B518-7ACCAFCF69C6}"/>
    <cellStyle name="Sheet Title" xfId="12" xr:uid="{389373B7-6F72-40BB-880D-F1BB75AD7E2F}"/>
    <cellStyle name="Tarefa" xfId="6" xr:uid="{00000000-0005-0000-0000-000007000000}"/>
    <cellStyle name="Título" xfId="7" builtinId="15"/>
    <cellStyle name="Título 2" xfId="8" builtinId="17"/>
    <cellStyle name="Título 3" xfId="9" builtinId="18"/>
    <cellStyle name="zTextoOculto" xfId="10" xr:uid="{00000000-0005-0000-0000-00000B000000}"/>
  </cellStyles>
  <dxfs count="10">
    <dxf>
      <font>
        <b/>
        <i val="0"/>
        <condense val="0"/>
        <extend val="0"/>
      </font>
      <fill>
        <patternFill>
          <bgColor indexed="10"/>
        </patternFill>
      </fill>
    </dxf>
    <dxf>
      <font>
        <b/>
        <i val="0"/>
        <condense val="0"/>
        <extend val="0"/>
      </font>
      <fill>
        <patternFill>
          <bgColor indexed="13"/>
        </patternFill>
      </fill>
    </dxf>
    <dxf>
      <font>
        <b/>
        <i val="0"/>
        <condense val="0"/>
        <extend val="0"/>
      </font>
      <fill>
        <patternFill>
          <bgColor indexed="57"/>
        </patternFill>
      </fill>
    </dxf>
    <dxf>
      <font>
        <b/>
        <i val="0"/>
        <condense val="0"/>
        <extend val="0"/>
      </font>
      <fill>
        <patternFill>
          <bgColor indexed="10"/>
        </patternFill>
      </fill>
    </dxf>
    <dxf>
      <font>
        <b/>
        <i val="0"/>
        <condense val="0"/>
        <extend val="0"/>
      </font>
      <fill>
        <patternFill>
          <bgColor indexed="13"/>
        </patternFill>
      </fill>
    </dxf>
    <dxf>
      <font>
        <b/>
        <i val="0"/>
        <condense val="0"/>
        <extend val="0"/>
      </font>
      <fill>
        <patternFill>
          <bgColor indexed="57"/>
        </patternFill>
      </fill>
    </dxf>
    <dxf>
      <fill>
        <patternFill>
          <bgColor theme="7"/>
        </patternFill>
      </fill>
      <border>
        <left/>
        <right/>
      </border>
    </dxf>
    <dxf>
      <fill>
        <patternFill>
          <bgColor theme="0" tint="-0.34998626667073579"/>
        </patternFill>
      </fill>
    </dxf>
    <dxf>
      <border>
        <left style="thin">
          <color rgb="FFC00000"/>
        </left>
        <right style="thin">
          <color rgb="FFC00000"/>
        </right>
      </border>
    </dxf>
    <dxf>
      <font>
        <color rgb="FF9C0006"/>
      </font>
      <fill>
        <patternFill>
          <bgColor rgb="FFFFC7CE"/>
        </patternFill>
      </fill>
    </dxf>
  </dxfs>
  <tableStyles count="0" defaultTableStyle="TableStyleMedium9" defaultPivotStyle="PivotStyleLight16"/>
  <colors>
    <mruColors>
      <color rgb="FFA679E7"/>
      <color rgb="FFDCCAF6"/>
      <color rgb="FF8961ED"/>
      <color rgb="FFD1D1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2" Type="http://schemas.openxmlformats.org/officeDocument/2006/relationships/image" Target="https://encrypted-tbn0.gstatic.com/images?q=tbn:ANd9GcSJ2ijpeoXGPRtz5cNwDfxA0_BvMmgkBeomZ2z0XgM&amp;s" TargetMode="External"/><Relationship Id="rId1" Type="http://schemas.openxmlformats.org/officeDocument/2006/relationships/image" Target="../media/image10.jpeg"/></Relationships>
</file>

<file path=xl/drawings/drawing1.xml><?xml version="1.0" encoding="utf-8"?>
<xdr:wsDr xmlns:xdr="http://schemas.openxmlformats.org/drawingml/2006/spreadsheetDrawing" xmlns:a="http://schemas.openxmlformats.org/drawingml/2006/main">
  <xdr:oneCellAnchor>
    <xdr:from>
      <xdr:col>12</xdr:col>
      <xdr:colOff>0</xdr:colOff>
      <xdr:row>15</xdr:row>
      <xdr:rowOff>163285</xdr:rowOff>
    </xdr:from>
    <xdr:ext cx="5894205" cy="4414556"/>
    <xdr:pic>
      <xdr:nvPicPr>
        <xdr:cNvPr id="2" name="Imagem 1">
          <a:extLst>
            <a:ext uri="{FF2B5EF4-FFF2-40B4-BE49-F238E27FC236}">
              <a16:creationId xmlns:a16="http://schemas.microsoft.com/office/drawing/2014/main" id="{D094627D-3194-4F43-B132-BBE2BE80EE05}"/>
            </a:ext>
          </a:extLst>
        </xdr:cNvPr>
        <xdr:cNvPicPr>
          <a:picLocks noChangeAspect="1"/>
        </xdr:cNvPicPr>
      </xdr:nvPicPr>
      <xdr:blipFill>
        <a:blip xmlns:r="http://schemas.openxmlformats.org/officeDocument/2006/relationships" r:embed="rId1"/>
        <a:stretch>
          <a:fillRect/>
        </a:stretch>
      </xdr:blipFill>
      <xdr:spPr>
        <a:xfrm>
          <a:off x="7315200" y="2592160"/>
          <a:ext cx="5894205" cy="4414556"/>
        </a:xfrm>
        <a:prstGeom prst="rect">
          <a:avLst/>
        </a:prstGeom>
      </xdr:spPr>
    </xdr:pic>
    <xdr:clientData/>
  </xdr:oneCellAnchor>
  <xdr:oneCellAnchor>
    <xdr:from>
      <xdr:col>12</xdr:col>
      <xdr:colOff>56030</xdr:colOff>
      <xdr:row>45</xdr:row>
      <xdr:rowOff>78441</xdr:rowOff>
    </xdr:from>
    <xdr:ext cx="5991704" cy="3038596"/>
    <xdr:pic>
      <xdr:nvPicPr>
        <xdr:cNvPr id="3" name="Imagem 2">
          <a:extLst>
            <a:ext uri="{FF2B5EF4-FFF2-40B4-BE49-F238E27FC236}">
              <a16:creationId xmlns:a16="http://schemas.microsoft.com/office/drawing/2014/main" id="{3B0B5FE3-9C98-4845-81D7-F01502B98BFF}"/>
            </a:ext>
          </a:extLst>
        </xdr:cNvPr>
        <xdr:cNvPicPr>
          <a:picLocks noChangeAspect="1"/>
        </xdr:cNvPicPr>
      </xdr:nvPicPr>
      <xdr:blipFill>
        <a:blip xmlns:r="http://schemas.openxmlformats.org/officeDocument/2006/relationships" r:embed="rId2"/>
        <a:stretch>
          <a:fillRect/>
        </a:stretch>
      </xdr:blipFill>
      <xdr:spPr>
        <a:xfrm>
          <a:off x="7371230" y="7365066"/>
          <a:ext cx="5991704" cy="3038596"/>
        </a:xfrm>
        <a:prstGeom prst="rect">
          <a:avLst/>
        </a:prstGeom>
      </xdr:spPr>
    </xdr:pic>
    <xdr:clientData/>
  </xdr:oneCellAnchor>
  <xdr:oneCellAnchor>
    <xdr:from>
      <xdr:col>11</xdr:col>
      <xdr:colOff>204508</xdr:colOff>
      <xdr:row>62</xdr:row>
      <xdr:rowOff>23812</xdr:rowOff>
    </xdr:from>
    <xdr:ext cx="6884218" cy="4710517"/>
    <xdr:pic>
      <xdr:nvPicPr>
        <xdr:cNvPr id="4" name="Imagem 3">
          <a:extLst>
            <a:ext uri="{FF2B5EF4-FFF2-40B4-BE49-F238E27FC236}">
              <a16:creationId xmlns:a16="http://schemas.microsoft.com/office/drawing/2014/main" id="{DFA14A9B-951D-48DD-A017-EAE9997AD7CC}"/>
            </a:ext>
          </a:extLst>
        </xdr:cNvPr>
        <xdr:cNvPicPr>
          <a:picLocks noChangeAspect="1"/>
        </xdr:cNvPicPr>
      </xdr:nvPicPr>
      <xdr:blipFill>
        <a:blip xmlns:r="http://schemas.openxmlformats.org/officeDocument/2006/relationships" r:embed="rId3"/>
        <a:stretch>
          <a:fillRect/>
        </a:stretch>
      </xdr:blipFill>
      <xdr:spPr>
        <a:xfrm>
          <a:off x="6910108" y="10063162"/>
          <a:ext cx="6884218" cy="4710517"/>
        </a:xfrm>
        <a:prstGeom prst="rect">
          <a:avLst/>
        </a:prstGeom>
      </xdr:spPr>
    </xdr:pic>
    <xdr:clientData/>
  </xdr:oneCellAnchor>
  <xdr:oneCellAnchor>
    <xdr:from>
      <xdr:col>11</xdr:col>
      <xdr:colOff>190500</xdr:colOff>
      <xdr:row>93</xdr:row>
      <xdr:rowOff>47625</xdr:rowOff>
    </xdr:from>
    <xdr:ext cx="7078083" cy="3467617"/>
    <xdr:pic>
      <xdr:nvPicPr>
        <xdr:cNvPr id="5" name="Imagem 4">
          <a:extLst>
            <a:ext uri="{FF2B5EF4-FFF2-40B4-BE49-F238E27FC236}">
              <a16:creationId xmlns:a16="http://schemas.microsoft.com/office/drawing/2014/main" id="{8C4CA3DB-6004-4BE6-A580-1128B5C2C824}"/>
            </a:ext>
          </a:extLst>
        </xdr:cNvPr>
        <xdr:cNvPicPr>
          <a:picLocks noChangeAspect="1"/>
        </xdr:cNvPicPr>
      </xdr:nvPicPr>
      <xdr:blipFill>
        <a:blip xmlns:r="http://schemas.openxmlformats.org/officeDocument/2006/relationships" r:embed="rId4"/>
        <a:stretch>
          <a:fillRect/>
        </a:stretch>
      </xdr:blipFill>
      <xdr:spPr>
        <a:xfrm>
          <a:off x="6896100" y="15106650"/>
          <a:ext cx="7078083" cy="3467617"/>
        </a:xfrm>
        <a:prstGeom prst="rect">
          <a:avLst/>
        </a:prstGeom>
      </xdr:spPr>
    </xdr:pic>
    <xdr:clientData/>
  </xdr:oneCellAnchor>
  <xdr:oneCellAnchor>
    <xdr:from>
      <xdr:col>11</xdr:col>
      <xdr:colOff>404813</xdr:colOff>
      <xdr:row>116</xdr:row>
      <xdr:rowOff>23812</xdr:rowOff>
    </xdr:from>
    <xdr:ext cx="6354082" cy="3335545"/>
    <xdr:pic>
      <xdr:nvPicPr>
        <xdr:cNvPr id="6" name="Imagem 5">
          <a:extLst>
            <a:ext uri="{FF2B5EF4-FFF2-40B4-BE49-F238E27FC236}">
              <a16:creationId xmlns:a16="http://schemas.microsoft.com/office/drawing/2014/main" id="{0B35DB17-E30D-455B-BA54-00523575373D}"/>
            </a:ext>
          </a:extLst>
        </xdr:cNvPr>
        <xdr:cNvPicPr>
          <a:picLocks noChangeAspect="1"/>
        </xdr:cNvPicPr>
      </xdr:nvPicPr>
      <xdr:blipFill>
        <a:blip xmlns:r="http://schemas.openxmlformats.org/officeDocument/2006/relationships" r:embed="rId5"/>
        <a:stretch>
          <a:fillRect/>
        </a:stretch>
      </xdr:blipFill>
      <xdr:spPr>
        <a:xfrm>
          <a:off x="7110413" y="18807112"/>
          <a:ext cx="6354082" cy="3335545"/>
        </a:xfrm>
        <a:prstGeom prst="rect">
          <a:avLst/>
        </a:prstGeom>
      </xdr:spPr>
    </xdr:pic>
    <xdr:clientData/>
  </xdr:oneCellAnchor>
  <xdr:oneCellAnchor>
    <xdr:from>
      <xdr:col>11</xdr:col>
      <xdr:colOff>404813</xdr:colOff>
      <xdr:row>138</xdr:row>
      <xdr:rowOff>71437</xdr:rowOff>
    </xdr:from>
    <xdr:ext cx="6430292" cy="4515956"/>
    <xdr:pic>
      <xdr:nvPicPr>
        <xdr:cNvPr id="7" name="Imagem 6">
          <a:extLst>
            <a:ext uri="{FF2B5EF4-FFF2-40B4-BE49-F238E27FC236}">
              <a16:creationId xmlns:a16="http://schemas.microsoft.com/office/drawing/2014/main" id="{26641EFF-FDFB-4014-9BF9-3DD34B4C34B1}"/>
            </a:ext>
          </a:extLst>
        </xdr:cNvPr>
        <xdr:cNvPicPr>
          <a:picLocks noChangeAspect="1"/>
        </xdr:cNvPicPr>
      </xdr:nvPicPr>
      <xdr:blipFill>
        <a:blip xmlns:r="http://schemas.openxmlformats.org/officeDocument/2006/relationships" r:embed="rId6"/>
        <a:stretch>
          <a:fillRect/>
        </a:stretch>
      </xdr:blipFill>
      <xdr:spPr>
        <a:xfrm>
          <a:off x="7110413" y="22417087"/>
          <a:ext cx="6430292" cy="4515956"/>
        </a:xfrm>
        <a:prstGeom prst="rect">
          <a:avLst/>
        </a:prstGeom>
      </xdr:spPr>
    </xdr:pic>
    <xdr:clientData/>
  </xdr:oneCellAnchor>
  <xdr:oneCellAnchor>
    <xdr:from>
      <xdr:col>11</xdr:col>
      <xdr:colOff>452438</xdr:colOff>
      <xdr:row>166</xdr:row>
      <xdr:rowOff>119063</xdr:rowOff>
    </xdr:from>
    <xdr:ext cx="6392187" cy="4506430"/>
    <xdr:pic>
      <xdr:nvPicPr>
        <xdr:cNvPr id="8" name="Imagem 7">
          <a:extLst>
            <a:ext uri="{FF2B5EF4-FFF2-40B4-BE49-F238E27FC236}">
              <a16:creationId xmlns:a16="http://schemas.microsoft.com/office/drawing/2014/main" id="{D3C6A561-F453-4452-A6AB-004F8BAB4A83}"/>
            </a:ext>
          </a:extLst>
        </xdr:cNvPr>
        <xdr:cNvPicPr>
          <a:picLocks noChangeAspect="1"/>
        </xdr:cNvPicPr>
      </xdr:nvPicPr>
      <xdr:blipFill>
        <a:blip xmlns:r="http://schemas.openxmlformats.org/officeDocument/2006/relationships" r:embed="rId7"/>
        <a:stretch>
          <a:fillRect/>
        </a:stretch>
      </xdr:blipFill>
      <xdr:spPr>
        <a:xfrm>
          <a:off x="7158038" y="26998613"/>
          <a:ext cx="6392187" cy="4506430"/>
        </a:xfrm>
        <a:prstGeom prst="rect">
          <a:avLst/>
        </a:prstGeom>
      </xdr:spPr>
    </xdr:pic>
    <xdr:clientData/>
  </xdr:oneCellAnchor>
  <xdr:oneCellAnchor>
    <xdr:from>
      <xdr:col>11</xdr:col>
      <xdr:colOff>595313</xdr:colOff>
      <xdr:row>195</xdr:row>
      <xdr:rowOff>142874</xdr:rowOff>
    </xdr:from>
    <xdr:ext cx="6354082" cy="3268862"/>
    <xdr:pic>
      <xdr:nvPicPr>
        <xdr:cNvPr id="9" name="Imagem 8">
          <a:extLst>
            <a:ext uri="{FF2B5EF4-FFF2-40B4-BE49-F238E27FC236}">
              <a16:creationId xmlns:a16="http://schemas.microsoft.com/office/drawing/2014/main" id="{E86F229C-69FA-4F79-83FB-B4E4AAA5C07C}"/>
            </a:ext>
          </a:extLst>
        </xdr:cNvPr>
        <xdr:cNvPicPr>
          <a:picLocks noChangeAspect="1"/>
        </xdr:cNvPicPr>
      </xdr:nvPicPr>
      <xdr:blipFill>
        <a:blip xmlns:r="http://schemas.openxmlformats.org/officeDocument/2006/relationships" r:embed="rId8"/>
        <a:stretch>
          <a:fillRect/>
        </a:stretch>
      </xdr:blipFill>
      <xdr:spPr>
        <a:xfrm>
          <a:off x="7300913" y="31718249"/>
          <a:ext cx="6354082" cy="3268862"/>
        </a:xfrm>
        <a:prstGeom prst="rect">
          <a:avLst/>
        </a:prstGeom>
      </xdr:spPr>
    </xdr:pic>
    <xdr:clientData/>
  </xdr:oneCellAnchor>
  <xdr:oneCellAnchor>
    <xdr:from>
      <xdr:col>11</xdr:col>
      <xdr:colOff>571499</xdr:colOff>
      <xdr:row>214</xdr:row>
      <xdr:rowOff>0</xdr:rowOff>
    </xdr:from>
    <xdr:ext cx="6354082" cy="4800449"/>
    <xdr:pic>
      <xdr:nvPicPr>
        <xdr:cNvPr id="10" name="Imagem 9">
          <a:extLst>
            <a:ext uri="{FF2B5EF4-FFF2-40B4-BE49-F238E27FC236}">
              <a16:creationId xmlns:a16="http://schemas.microsoft.com/office/drawing/2014/main" id="{4C56D98F-9A53-4896-ABAE-AC7656C6DE73}"/>
            </a:ext>
          </a:extLst>
        </xdr:cNvPr>
        <xdr:cNvPicPr>
          <a:picLocks noChangeAspect="1"/>
        </xdr:cNvPicPr>
      </xdr:nvPicPr>
      <xdr:blipFill>
        <a:blip xmlns:r="http://schemas.openxmlformats.org/officeDocument/2006/relationships" r:embed="rId9"/>
        <a:stretch>
          <a:fillRect/>
        </a:stretch>
      </xdr:blipFill>
      <xdr:spPr>
        <a:xfrm>
          <a:off x="7277099" y="34651950"/>
          <a:ext cx="6354082" cy="480044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9</xdr:col>
      <xdr:colOff>51954</xdr:colOff>
      <xdr:row>22</xdr:row>
      <xdr:rowOff>171450</xdr:rowOff>
    </xdr:from>
    <xdr:to>
      <xdr:col>9</xdr:col>
      <xdr:colOff>523875</xdr:colOff>
      <xdr:row>28</xdr:row>
      <xdr:rowOff>181841</xdr:rowOff>
    </xdr:to>
    <xdr:cxnSp macro="">
      <xdr:nvCxnSpPr>
        <xdr:cNvPr id="44" name="Conector de Seta Reta 43">
          <a:extLst>
            <a:ext uri="{FF2B5EF4-FFF2-40B4-BE49-F238E27FC236}">
              <a16:creationId xmlns:a16="http://schemas.microsoft.com/office/drawing/2014/main" id="{2FA5A04D-007B-46EC-893B-231F36389198}"/>
            </a:ext>
          </a:extLst>
        </xdr:cNvPr>
        <xdr:cNvCxnSpPr/>
      </xdr:nvCxnSpPr>
      <xdr:spPr>
        <a:xfrm flipV="1">
          <a:off x="4785879" y="1676400"/>
          <a:ext cx="471921" cy="115339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76200</xdr:colOff>
      <xdr:row>28</xdr:row>
      <xdr:rowOff>180975</xdr:rowOff>
    </xdr:from>
    <xdr:to>
      <xdr:col>9</xdr:col>
      <xdr:colOff>504825</xdr:colOff>
      <xdr:row>29</xdr:row>
      <xdr:rowOff>0</xdr:rowOff>
    </xdr:to>
    <xdr:cxnSp macro="">
      <xdr:nvCxnSpPr>
        <xdr:cNvPr id="45" name="Conector de Seta Reta 44">
          <a:extLst>
            <a:ext uri="{FF2B5EF4-FFF2-40B4-BE49-F238E27FC236}">
              <a16:creationId xmlns:a16="http://schemas.microsoft.com/office/drawing/2014/main" id="{6C06FA35-9E81-4F7B-B038-A296639937D9}"/>
            </a:ext>
          </a:extLst>
        </xdr:cNvPr>
        <xdr:cNvCxnSpPr/>
      </xdr:nvCxnSpPr>
      <xdr:spPr>
        <a:xfrm>
          <a:off x="4810125" y="2828925"/>
          <a:ext cx="42862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43295</xdr:colOff>
      <xdr:row>29</xdr:row>
      <xdr:rowOff>8659</xdr:rowOff>
    </xdr:from>
    <xdr:to>
      <xdr:col>9</xdr:col>
      <xdr:colOff>504825</xdr:colOff>
      <xdr:row>34</xdr:row>
      <xdr:rowOff>104775</xdr:rowOff>
    </xdr:to>
    <xdr:cxnSp macro="">
      <xdr:nvCxnSpPr>
        <xdr:cNvPr id="46" name="Conector de Seta Reta 45">
          <a:extLst>
            <a:ext uri="{FF2B5EF4-FFF2-40B4-BE49-F238E27FC236}">
              <a16:creationId xmlns:a16="http://schemas.microsoft.com/office/drawing/2014/main" id="{82B803E8-EDF1-488B-9F0E-E941FF57E5CF}"/>
            </a:ext>
          </a:extLst>
        </xdr:cNvPr>
        <xdr:cNvCxnSpPr/>
      </xdr:nvCxnSpPr>
      <xdr:spPr>
        <a:xfrm>
          <a:off x="11337224" y="5519552"/>
          <a:ext cx="461530" cy="10894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47625</xdr:colOff>
      <xdr:row>23</xdr:row>
      <xdr:rowOff>8659</xdr:rowOff>
    </xdr:from>
    <xdr:to>
      <xdr:col>13</xdr:col>
      <xdr:colOff>554182</xdr:colOff>
      <xdr:row>23</xdr:row>
      <xdr:rowOff>9525</xdr:rowOff>
    </xdr:to>
    <xdr:cxnSp macro="">
      <xdr:nvCxnSpPr>
        <xdr:cNvPr id="47" name="Conector de Seta Reta 46">
          <a:extLst>
            <a:ext uri="{FF2B5EF4-FFF2-40B4-BE49-F238E27FC236}">
              <a16:creationId xmlns:a16="http://schemas.microsoft.com/office/drawing/2014/main" id="{73BCD36B-C962-4490-B12B-006D9BD1AB4B}"/>
            </a:ext>
          </a:extLst>
        </xdr:cNvPr>
        <xdr:cNvCxnSpPr/>
      </xdr:nvCxnSpPr>
      <xdr:spPr>
        <a:xfrm flipV="1">
          <a:off x="6610350" y="1704109"/>
          <a:ext cx="1116157" cy="866"/>
        </a:xfrm>
        <a:prstGeom prst="straightConnector1">
          <a:avLst/>
        </a:prstGeom>
        <a:ln>
          <a:solidFill>
            <a:schemeClr val="accent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34636</xdr:colOff>
      <xdr:row>23</xdr:row>
      <xdr:rowOff>17318</xdr:rowOff>
    </xdr:from>
    <xdr:to>
      <xdr:col>13</xdr:col>
      <xdr:colOff>438150</xdr:colOff>
      <xdr:row>28</xdr:row>
      <xdr:rowOff>123825</xdr:rowOff>
    </xdr:to>
    <xdr:cxnSp macro="">
      <xdr:nvCxnSpPr>
        <xdr:cNvPr id="48" name="Conector de Seta Reta 47">
          <a:extLst>
            <a:ext uri="{FF2B5EF4-FFF2-40B4-BE49-F238E27FC236}">
              <a16:creationId xmlns:a16="http://schemas.microsoft.com/office/drawing/2014/main" id="{0663DF78-E319-462D-873C-B0359590969E}"/>
            </a:ext>
          </a:extLst>
        </xdr:cNvPr>
        <xdr:cNvCxnSpPr/>
      </xdr:nvCxnSpPr>
      <xdr:spPr>
        <a:xfrm>
          <a:off x="6597361" y="1712768"/>
          <a:ext cx="1013114" cy="1059007"/>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51954</xdr:colOff>
      <xdr:row>23</xdr:row>
      <xdr:rowOff>43296</xdr:rowOff>
    </xdr:from>
    <xdr:to>
      <xdr:col>13</xdr:col>
      <xdr:colOff>493568</xdr:colOff>
      <xdr:row>29</xdr:row>
      <xdr:rowOff>17318</xdr:rowOff>
    </xdr:to>
    <xdr:cxnSp macro="">
      <xdr:nvCxnSpPr>
        <xdr:cNvPr id="49" name="Conector de Seta Reta 48">
          <a:extLst>
            <a:ext uri="{FF2B5EF4-FFF2-40B4-BE49-F238E27FC236}">
              <a16:creationId xmlns:a16="http://schemas.microsoft.com/office/drawing/2014/main" id="{51634E45-134A-4CBA-AA12-38C1EC2F110A}"/>
            </a:ext>
          </a:extLst>
        </xdr:cNvPr>
        <xdr:cNvCxnSpPr/>
      </xdr:nvCxnSpPr>
      <xdr:spPr>
        <a:xfrm flipV="1">
          <a:off x="6614679" y="1738746"/>
          <a:ext cx="1051214" cy="11170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77931</xdr:colOff>
      <xdr:row>28</xdr:row>
      <xdr:rowOff>181841</xdr:rowOff>
    </xdr:from>
    <xdr:to>
      <xdr:col>13</xdr:col>
      <xdr:colOff>450273</xdr:colOff>
      <xdr:row>29</xdr:row>
      <xdr:rowOff>0</xdr:rowOff>
    </xdr:to>
    <xdr:cxnSp macro="">
      <xdr:nvCxnSpPr>
        <xdr:cNvPr id="50" name="Conector de Seta Reta 49">
          <a:extLst>
            <a:ext uri="{FF2B5EF4-FFF2-40B4-BE49-F238E27FC236}">
              <a16:creationId xmlns:a16="http://schemas.microsoft.com/office/drawing/2014/main" id="{2062E2B1-5F10-4C2B-B6C2-6102412F15D4}"/>
            </a:ext>
          </a:extLst>
        </xdr:cNvPr>
        <xdr:cNvCxnSpPr/>
      </xdr:nvCxnSpPr>
      <xdr:spPr>
        <a:xfrm flipV="1">
          <a:off x="6640656" y="2829791"/>
          <a:ext cx="981942" cy="8659"/>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34636</xdr:colOff>
      <xdr:row>29</xdr:row>
      <xdr:rowOff>8659</xdr:rowOff>
    </xdr:from>
    <xdr:to>
      <xdr:col>13</xdr:col>
      <xdr:colOff>597477</xdr:colOff>
      <xdr:row>34</xdr:row>
      <xdr:rowOff>103909</xdr:rowOff>
    </xdr:to>
    <xdr:cxnSp macro="">
      <xdr:nvCxnSpPr>
        <xdr:cNvPr id="51" name="Conector de Seta Reta 50">
          <a:extLst>
            <a:ext uri="{FF2B5EF4-FFF2-40B4-BE49-F238E27FC236}">
              <a16:creationId xmlns:a16="http://schemas.microsoft.com/office/drawing/2014/main" id="{491744FD-0B52-4725-AFB0-0D5544575131}"/>
            </a:ext>
          </a:extLst>
        </xdr:cNvPr>
        <xdr:cNvCxnSpPr/>
      </xdr:nvCxnSpPr>
      <xdr:spPr>
        <a:xfrm>
          <a:off x="6597361" y="2847109"/>
          <a:ext cx="1172441" cy="93345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25977</xdr:colOff>
      <xdr:row>35</xdr:row>
      <xdr:rowOff>8660</xdr:rowOff>
    </xdr:from>
    <xdr:to>
      <xdr:col>13</xdr:col>
      <xdr:colOff>571500</xdr:colOff>
      <xdr:row>35</xdr:row>
      <xdr:rowOff>17318</xdr:rowOff>
    </xdr:to>
    <xdr:cxnSp macro="">
      <xdr:nvCxnSpPr>
        <xdr:cNvPr id="52" name="Conector de Seta Reta 51">
          <a:extLst>
            <a:ext uri="{FF2B5EF4-FFF2-40B4-BE49-F238E27FC236}">
              <a16:creationId xmlns:a16="http://schemas.microsoft.com/office/drawing/2014/main" id="{FBEAC116-AADD-43F7-9D7C-4B49AB205DB7}"/>
            </a:ext>
          </a:extLst>
        </xdr:cNvPr>
        <xdr:cNvCxnSpPr/>
      </xdr:nvCxnSpPr>
      <xdr:spPr>
        <a:xfrm flipV="1">
          <a:off x="6588702" y="3847235"/>
          <a:ext cx="1155123" cy="86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47625</xdr:colOff>
      <xdr:row>23</xdr:row>
      <xdr:rowOff>19050</xdr:rowOff>
    </xdr:from>
    <xdr:to>
      <xdr:col>17</xdr:col>
      <xdr:colOff>580160</xdr:colOff>
      <xdr:row>27</xdr:row>
      <xdr:rowOff>25977</xdr:rowOff>
    </xdr:to>
    <xdr:cxnSp macro="">
      <xdr:nvCxnSpPr>
        <xdr:cNvPr id="53" name="Conector de Seta Reta 52">
          <a:extLst>
            <a:ext uri="{FF2B5EF4-FFF2-40B4-BE49-F238E27FC236}">
              <a16:creationId xmlns:a16="http://schemas.microsoft.com/office/drawing/2014/main" id="{E217F520-9538-41B4-BC4C-0148882AA4CE}"/>
            </a:ext>
          </a:extLst>
        </xdr:cNvPr>
        <xdr:cNvCxnSpPr/>
      </xdr:nvCxnSpPr>
      <xdr:spPr>
        <a:xfrm>
          <a:off x="9048750" y="1714500"/>
          <a:ext cx="1142135" cy="768927"/>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51955</xdr:colOff>
      <xdr:row>27</xdr:row>
      <xdr:rowOff>86592</xdr:rowOff>
    </xdr:from>
    <xdr:to>
      <xdr:col>17</xdr:col>
      <xdr:colOff>571500</xdr:colOff>
      <xdr:row>27</xdr:row>
      <xdr:rowOff>95250</xdr:rowOff>
    </xdr:to>
    <xdr:cxnSp macro="">
      <xdr:nvCxnSpPr>
        <xdr:cNvPr id="54" name="Conector de Seta Reta 53">
          <a:extLst>
            <a:ext uri="{FF2B5EF4-FFF2-40B4-BE49-F238E27FC236}">
              <a16:creationId xmlns:a16="http://schemas.microsoft.com/office/drawing/2014/main" id="{9E696103-C9AC-4402-A227-1467931D3455}"/>
            </a:ext>
          </a:extLst>
        </xdr:cNvPr>
        <xdr:cNvCxnSpPr/>
      </xdr:nvCxnSpPr>
      <xdr:spPr>
        <a:xfrm flipV="1">
          <a:off x="9053080" y="2544042"/>
          <a:ext cx="1129145" cy="8658"/>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25977</xdr:colOff>
      <xdr:row>27</xdr:row>
      <xdr:rowOff>173182</xdr:rowOff>
    </xdr:from>
    <xdr:to>
      <xdr:col>17</xdr:col>
      <xdr:colOff>580160</xdr:colOff>
      <xdr:row>33</xdr:row>
      <xdr:rowOff>60615</xdr:rowOff>
    </xdr:to>
    <xdr:cxnSp macro="">
      <xdr:nvCxnSpPr>
        <xdr:cNvPr id="55" name="Conector de Seta Reta 54">
          <a:extLst>
            <a:ext uri="{FF2B5EF4-FFF2-40B4-BE49-F238E27FC236}">
              <a16:creationId xmlns:a16="http://schemas.microsoft.com/office/drawing/2014/main" id="{4F5104CE-C509-4B2F-AF2D-515699211ECF}"/>
            </a:ext>
          </a:extLst>
        </xdr:cNvPr>
        <xdr:cNvCxnSpPr/>
      </xdr:nvCxnSpPr>
      <xdr:spPr>
        <a:xfrm flipV="1">
          <a:off x="9027102" y="2630632"/>
          <a:ext cx="1163783" cy="9351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38100</xdr:colOff>
      <xdr:row>28</xdr:row>
      <xdr:rowOff>164523</xdr:rowOff>
    </xdr:from>
    <xdr:to>
      <xdr:col>13</xdr:col>
      <xdr:colOff>554182</xdr:colOff>
      <xdr:row>35</xdr:row>
      <xdr:rowOff>19051</xdr:rowOff>
    </xdr:to>
    <xdr:cxnSp macro="">
      <xdr:nvCxnSpPr>
        <xdr:cNvPr id="56" name="Conector de Seta Reta 55">
          <a:extLst>
            <a:ext uri="{FF2B5EF4-FFF2-40B4-BE49-F238E27FC236}">
              <a16:creationId xmlns:a16="http://schemas.microsoft.com/office/drawing/2014/main" id="{B0DCAFE1-8333-4281-92F7-464BE9189278}"/>
            </a:ext>
          </a:extLst>
        </xdr:cNvPr>
        <xdr:cNvCxnSpPr/>
      </xdr:nvCxnSpPr>
      <xdr:spPr>
        <a:xfrm flipV="1">
          <a:off x="6600825" y="2812473"/>
          <a:ext cx="1125682" cy="1045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38100</xdr:colOff>
      <xdr:row>29</xdr:row>
      <xdr:rowOff>0</xdr:rowOff>
    </xdr:from>
    <xdr:to>
      <xdr:col>9</xdr:col>
      <xdr:colOff>533400</xdr:colOff>
      <xdr:row>39</xdr:row>
      <xdr:rowOff>171450</xdr:rowOff>
    </xdr:to>
    <xdr:cxnSp macro="">
      <xdr:nvCxnSpPr>
        <xdr:cNvPr id="3" name="Conexão Reta 2">
          <a:extLst>
            <a:ext uri="{FF2B5EF4-FFF2-40B4-BE49-F238E27FC236}">
              <a16:creationId xmlns:a16="http://schemas.microsoft.com/office/drawing/2014/main" id="{58E3360E-15EE-D5DE-2921-C4CB42780F92}"/>
            </a:ext>
            <a:ext uri="{147F2762-F138-4A5C-976F-8EAC2B608ADB}">
              <a16:predDERef xmlns:a16="http://schemas.microsoft.com/office/drawing/2014/main" pred="{B0DCAFE1-8333-4281-92F7-464BE9189278}"/>
            </a:ext>
          </a:extLst>
        </xdr:cNvPr>
        <xdr:cNvCxnSpPr>
          <a:cxnSpLocks/>
        </xdr:cNvCxnSpPr>
      </xdr:nvCxnSpPr>
      <xdr:spPr>
        <a:xfrm>
          <a:off x="11801475" y="5324475"/>
          <a:ext cx="495300" cy="207645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19050</xdr:colOff>
      <xdr:row>31</xdr:row>
      <xdr:rowOff>104775</xdr:rowOff>
    </xdr:from>
    <xdr:to>
      <xdr:col>20</xdr:col>
      <xdr:colOff>552450</xdr:colOff>
      <xdr:row>36</xdr:row>
      <xdr:rowOff>85725</xdr:rowOff>
    </xdr:to>
    <xdr:cxnSp macro="">
      <xdr:nvCxnSpPr>
        <xdr:cNvPr id="4" name="Conexão Reta Unidirecional 3">
          <a:extLst>
            <a:ext uri="{FF2B5EF4-FFF2-40B4-BE49-F238E27FC236}">
              <a16:creationId xmlns:a16="http://schemas.microsoft.com/office/drawing/2014/main" id="{FC74B7D6-84C0-4FF7-B241-6F3DF09B840B}"/>
            </a:ext>
            <a:ext uri="{147F2762-F138-4A5C-976F-8EAC2B608ADB}">
              <a16:predDERef xmlns:a16="http://schemas.microsoft.com/office/drawing/2014/main" pred="{58E3360E-15EE-D5DE-2921-C4CB42780F92}"/>
            </a:ext>
          </a:extLst>
        </xdr:cNvPr>
        <xdr:cNvCxnSpPr>
          <a:cxnSpLocks/>
        </xdr:cNvCxnSpPr>
      </xdr:nvCxnSpPr>
      <xdr:spPr>
        <a:xfrm>
          <a:off x="23164800" y="5810250"/>
          <a:ext cx="533400" cy="9334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47625</xdr:colOff>
      <xdr:row>31</xdr:row>
      <xdr:rowOff>38100</xdr:rowOff>
    </xdr:from>
    <xdr:to>
      <xdr:col>20</xdr:col>
      <xdr:colOff>581025</xdr:colOff>
      <xdr:row>31</xdr:row>
      <xdr:rowOff>47625</xdr:rowOff>
    </xdr:to>
    <xdr:cxnSp macro="">
      <xdr:nvCxnSpPr>
        <xdr:cNvPr id="5" name="Conexão Reta Unidirecional 4">
          <a:extLst>
            <a:ext uri="{FF2B5EF4-FFF2-40B4-BE49-F238E27FC236}">
              <a16:creationId xmlns:a16="http://schemas.microsoft.com/office/drawing/2014/main" id="{CABE1A30-AD5A-400B-A010-FA315338256D}"/>
            </a:ext>
            <a:ext uri="{147F2762-F138-4A5C-976F-8EAC2B608ADB}">
              <a16:predDERef xmlns:a16="http://schemas.microsoft.com/office/drawing/2014/main" pred="{FC74B7D6-84C0-4FF7-B241-6F3DF09B840B}"/>
            </a:ext>
          </a:extLst>
        </xdr:cNvPr>
        <xdr:cNvCxnSpPr>
          <a:cxnSpLocks/>
        </xdr:cNvCxnSpPr>
      </xdr:nvCxnSpPr>
      <xdr:spPr>
        <a:xfrm>
          <a:off x="23193375" y="5743575"/>
          <a:ext cx="5334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25</xdr:row>
      <xdr:rowOff>76200</xdr:rowOff>
    </xdr:from>
    <xdr:to>
      <xdr:col>20</xdr:col>
      <xdr:colOff>523875</xdr:colOff>
      <xdr:row>30</xdr:row>
      <xdr:rowOff>152400</xdr:rowOff>
    </xdr:to>
    <xdr:cxnSp macro="">
      <xdr:nvCxnSpPr>
        <xdr:cNvPr id="6" name="Conexão Reta Unidirecional 5">
          <a:extLst>
            <a:ext uri="{FF2B5EF4-FFF2-40B4-BE49-F238E27FC236}">
              <a16:creationId xmlns:a16="http://schemas.microsoft.com/office/drawing/2014/main" id="{FE8D131F-F85B-4155-86D0-A65908A38814}"/>
            </a:ext>
            <a:ext uri="{147F2762-F138-4A5C-976F-8EAC2B608ADB}">
              <a16:predDERef xmlns:a16="http://schemas.microsoft.com/office/drawing/2014/main" pred="{CABE1A30-AD5A-400B-A010-FA315338256D}"/>
            </a:ext>
          </a:extLst>
        </xdr:cNvPr>
        <xdr:cNvCxnSpPr>
          <a:cxnSpLocks/>
        </xdr:cNvCxnSpPr>
      </xdr:nvCxnSpPr>
      <xdr:spPr>
        <a:xfrm flipV="1">
          <a:off x="23145750" y="4638675"/>
          <a:ext cx="523875" cy="1028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28575</xdr:colOff>
      <xdr:row>31</xdr:row>
      <xdr:rowOff>123825</xdr:rowOff>
    </xdr:from>
    <xdr:to>
      <xdr:col>20</xdr:col>
      <xdr:colOff>542925</xdr:colOff>
      <xdr:row>43</xdr:row>
      <xdr:rowOff>95250</xdr:rowOff>
    </xdr:to>
    <xdr:cxnSp macro="">
      <xdr:nvCxnSpPr>
        <xdr:cNvPr id="7" name="Conexão Reta Unidirecional 6">
          <a:extLst>
            <a:ext uri="{FF2B5EF4-FFF2-40B4-BE49-F238E27FC236}">
              <a16:creationId xmlns:a16="http://schemas.microsoft.com/office/drawing/2014/main" id="{22657BF4-DE38-41FA-8187-3DE652E2DF59}"/>
            </a:ext>
            <a:ext uri="{147F2762-F138-4A5C-976F-8EAC2B608ADB}">
              <a16:predDERef xmlns:a16="http://schemas.microsoft.com/office/drawing/2014/main" pred="{FE8D131F-F85B-4155-86D0-A65908A38814}"/>
            </a:ext>
          </a:extLst>
        </xdr:cNvPr>
        <xdr:cNvCxnSpPr>
          <a:cxnSpLocks/>
        </xdr:cNvCxnSpPr>
      </xdr:nvCxnSpPr>
      <xdr:spPr>
        <a:xfrm>
          <a:off x="23174325" y="5829300"/>
          <a:ext cx="514350" cy="2266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57150</xdr:colOff>
      <xdr:row>31</xdr:row>
      <xdr:rowOff>66675</xdr:rowOff>
    </xdr:from>
    <xdr:to>
      <xdr:col>24</xdr:col>
      <xdr:colOff>571500</xdr:colOff>
      <xdr:row>31</xdr:row>
      <xdr:rowOff>76200</xdr:rowOff>
    </xdr:to>
    <xdr:cxnSp macro="">
      <xdr:nvCxnSpPr>
        <xdr:cNvPr id="2" name="Conexão Reta Unidirecional 1">
          <a:extLst>
            <a:ext uri="{FF2B5EF4-FFF2-40B4-BE49-F238E27FC236}">
              <a16:creationId xmlns:a16="http://schemas.microsoft.com/office/drawing/2014/main" id="{2EE079E6-8A04-40BD-AC6B-75DB2FDBCF40}"/>
            </a:ext>
            <a:ext uri="{147F2762-F138-4A5C-976F-8EAC2B608ADB}">
              <a16:predDERef xmlns:a16="http://schemas.microsoft.com/office/drawing/2014/main" pred="{22657BF4-DE38-41FA-8187-3DE652E2DF59}"/>
            </a:ext>
          </a:extLst>
        </xdr:cNvPr>
        <xdr:cNvCxnSpPr>
          <a:cxnSpLocks/>
        </xdr:cNvCxnSpPr>
      </xdr:nvCxnSpPr>
      <xdr:spPr>
        <a:xfrm>
          <a:off x="26574750" y="5772150"/>
          <a:ext cx="112395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66675</xdr:colOff>
      <xdr:row>32</xdr:row>
      <xdr:rowOff>19050</xdr:rowOff>
    </xdr:from>
    <xdr:to>
      <xdr:col>28</xdr:col>
      <xdr:colOff>371475</xdr:colOff>
      <xdr:row>32</xdr:row>
      <xdr:rowOff>28575</xdr:rowOff>
    </xdr:to>
    <xdr:cxnSp macro="">
      <xdr:nvCxnSpPr>
        <xdr:cNvPr id="9" name="Conexão Reta Unidirecional 7">
          <a:extLst>
            <a:ext uri="{FF2B5EF4-FFF2-40B4-BE49-F238E27FC236}">
              <a16:creationId xmlns:a16="http://schemas.microsoft.com/office/drawing/2014/main" id="{6FEAD32D-DECE-49DC-9528-0E57D32FBAEE}"/>
            </a:ext>
            <a:ext uri="{147F2762-F138-4A5C-976F-8EAC2B608ADB}">
              <a16:predDERef xmlns:a16="http://schemas.microsoft.com/office/drawing/2014/main" pred="{2EE079E6-8A04-40BD-AC6B-75DB2FDBCF40}"/>
            </a:ext>
          </a:extLst>
        </xdr:cNvPr>
        <xdr:cNvCxnSpPr>
          <a:cxnSpLocks/>
        </xdr:cNvCxnSpPr>
      </xdr:nvCxnSpPr>
      <xdr:spPr>
        <a:xfrm>
          <a:off x="30460950" y="5915025"/>
          <a:ext cx="9144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190500</xdr:colOff>
      <xdr:row>32</xdr:row>
      <xdr:rowOff>85725</xdr:rowOff>
    </xdr:from>
    <xdr:to>
      <xdr:col>36</xdr:col>
      <xdr:colOff>723900</xdr:colOff>
      <xdr:row>32</xdr:row>
      <xdr:rowOff>95250</xdr:rowOff>
    </xdr:to>
    <xdr:cxnSp macro="">
      <xdr:nvCxnSpPr>
        <xdr:cNvPr id="22" name="Conexão Reta Unidirecional 8">
          <a:extLst>
            <a:ext uri="{FF2B5EF4-FFF2-40B4-BE49-F238E27FC236}">
              <a16:creationId xmlns:a16="http://schemas.microsoft.com/office/drawing/2014/main" id="{D5FDDE32-46D6-4081-B148-D4E84101CD01}"/>
            </a:ext>
            <a:ext uri="{147F2762-F138-4A5C-976F-8EAC2B608ADB}">
              <a16:predDERef xmlns:a16="http://schemas.microsoft.com/office/drawing/2014/main" pred="{6FEAD32D-DECE-49DC-9528-0E57D32FBAEE}"/>
            </a:ext>
          </a:extLst>
        </xdr:cNvPr>
        <xdr:cNvCxnSpPr>
          <a:cxnSpLocks/>
        </xdr:cNvCxnSpPr>
      </xdr:nvCxnSpPr>
      <xdr:spPr>
        <a:xfrm>
          <a:off x="38347650" y="5981700"/>
          <a:ext cx="11430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152400</xdr:colOff>
      <xdr:row>32</xdr:row>
      <xdr:rowOff>76200</xdr:rowOff>
    </xdr:from>
    <xdr:to>
      <xdr:col>32</xdr:col>
      <xdr:colOff>638175</xdr:colOff>
      <xdr:row>32</xdr:row>
      <xdr:rowOff>85725</xdr:rowOff>
    </xdr:to>
    <xdr:cxnSp macro="">
      <xdr:nvCxnSpPr>
        <xdr:cNvPr id="19" name="Conexão Reta Unidirecional 9">
          <a:extLst>
            <a:ext uri="{FF2B5EF4-FFF2-40B4-BE49-F238E27FC236}">
              <a16:creationId xmlns:a16="http://schemas.microsoft.com/office/drawing/2014/main" id="{F7149362-5932-4A0B-80E0-7C868886C336}"/>
            </a:ext>
            <a:ext uri="{147F2762-F138-4A5C-976F-8EAC2B608ADB}">
              <a16:predDERef xmlns:a16="http://schemas.microsoft.com/office/drawing/2014/main" pred="{D5FDDE32-46D6-4081-B148-D4E84101CD01}"/>
            </a:ext>
          </a:extLst>
        </xdr:cNvPr>
        <xdr:cNvCxnSpPr>
          <a:cxnSpLocks/>
        </xdr:cNvCxnSpPr>
      </xdr:nvCxnSpPr>
      <xdr:spPr>
        <a:xfrm>
          <a:off x="34270950" y="5972175"/>
          <a:ext cx="109537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76200</xdr:colOff>
      <xdr:row>34</xdr:row>
      <xdr:rowOff>66675</xdr:rowOff>
    </xdr:from>
    <xdr:to>
      <xdr:col>36</xdr:col>
      <xdr:colOff>581025</xdr:colOff>
      <xdr:row>38</xdr:row>
      <xdr:rowOff>19050</xdr:rowOff>
    </xdr:to>
    <xdr:cxnSp macro="">
      <xdr:nvCxnSpPr>
        <xdr:cNvPr id="23" name="Conexão Reta Unidirecional 10">
          <a:extLst>
            <a:ext uri="{FF2B5EF4-FFF2-40B4-BE49-F238E27FC236}">
              <a16:creationId xmlns:a16="http://schemas.microsoft.com/office/drawing/2014/main" id="{0F6AC889-99F6-44B9-99A7-2CA3E630B49C}"/>
            </a:ext>
            <a:ext uri="{147F2762-F138-4A5C-976F-8EAC2B608ADB}">
              <a16:predDERef xmlns:a16="http://schemas.microsoft.com/office/drawing/2014/main" pred="{F7149362-5932-4A0B-80E0-7C868886C336}"/>
            </a:ext>
          </a:extLst>
        </xdr:cNvPr>
        <xdr:cNvCxnSpPr>
          <a:cxnSpLocks/>
        </xdr:cNvCxnSpPr>
      </xdr:nvCxnSpPr>
      <xdr:spPr>
        <a:xfrm>
          <a:off x="38233350" y="6343650"/>
          <a:ext cx="1114425" cy="7143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104775</xdr:colOff>
      <xdr:row>34</xdr:row>
      <xdr:rowOff>152400</xdr:rowOff>
    </xdr:from>
    <xdr:to>
      <xdr:col>41</xdr:col>
      <xdr:colOff>333375</xdr:colOff>
      <xdr:row>38</xdr:row>
      <xdr:rowOff>38100</xdr:rowOff>
    </xdr:to>
    <xdr:cxnSp macro="">
      <xdr:nvCxnSpPr>
        <xdr:cNvPr id="32" name="Conexão Reta Unidirecional 12">
          <a:extLst>
            <a:ext uri="{FF2B5EF4-FFF2-40B4-BE49-F238E27FC236}">
              <a16:creationId xmlns:a16="http://schemas.microsoft.com/office/drawing/2014/main" id="{9448A00B-387B-42A4-B66B-A52A3CDE2FCC}"/>
            </a:ext>
            <a:ext uri="{147F2762-F138-4A5C-976F-8EAC2B608ADB}">
              <a16:predDERef xmlns:a16="http://schemas.microsoft.com/office/drawing/2014/main" pred="{0F6AC889-99F6-44B9-99A7-2CA3E630B49C}"/>
            </a:ext>
          </a:extLst>
        </xdr:cNvPr>
        <xdr:cNvCxnSpPr>
          <a:cxnSpLocks/>
        </xdr:cNvCxnSpPr>
      </xdr:nvCxnSpPr>
      <xdr:spPr>
        <a:xfrm flipV="1">
          <a:off x="42538650" y="6429375"/>
          <a:ext cx="1447800" cy="647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114300</xdr:colOff>
      <xdr:row>30</xdr:row>
      <xdr:rowOff>152400</xdr:rowOff>
    </xdr:from>
    <xdr:to>
      <xdr:col>45</xdr:col>
      <xdr:colOff>485775</xdr:colOff>
      <xdr:row>32</xdr:row>
      <xdr:rowOff>38100</xdr:rowOff>
    </xdr:to>
    <xdr:cxnSp macro="">
      <xdr:nvCxnSpPr>
        <xdr:cNvPr id="40" name="Conexão Reta Unidirecional 13">
          <a:extLst>
            <a:ext uri="{FF2B5EF4-FFF2-40B4-BE49-F238E27FC236}">
              <a16:creationId xmlns:a16="http://schemas.microsoft.com/office/drawing/2014/main" id="{7EFEADFB-CE91-4488-B0B8-4A32ED1890B4}"/>
            </a:ext>
            <a:ext uri="{147F2762-F138-4A5C-976F-8EAC2B608ADB}">
              <a16:predDERef xmlns:a16="http://schemas.microsoft.com/office/drawing/2014/main" pred="{9448A00B-387B-42A4-B66B-A52A3CDE2FCC}"/>
            </a:ext>
          </a:extLst>
        </xdr:cNvPr>
        <xdr:cNvCxnSpPr>
          <a:cxnSpLocks/>
        </xdr:cNvCxnSpPr>
      </xdr:nvCxnSpPr>
      <xdr:spPr>
        <a:xfrm flipV="1">
          <a:off x="46977300" y="5667375"/>
          <a:ext cx="981075" cy="266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123825</xdr:colOff>
      <xdr:row>33</xdr:row>
      <xdr:rowOff>142875</xdr:rowOff>
    </xdr:from>
    <xdr:to>
      <xdr:col>45</xdr:col>
      <xdr:colOff>466725</xdr:colOff>
      <xdr:row>36</xdr:row>
      <xdr:rowOff>171450</xdr:rowOff>
    </xdr:to>
    <xdr:cxnSp macro="">
      <xdr:nvCxnSpPr>
        <xdr:cNvPr id="38" name="Conexão Reta Unidirecional 14">
          <a:extLst>
            <a:ext uri="{FF2B5EF4-FFF2-40B4-BE49-F238E27FC236}">
              <a16:creationId xmlns:a16="http://schemas.microsoft.com/office/drawing/2014/main" id="{875EE6F7-7BAD-4003-AECD-1937E354134A}"/>
            </a:ext>
            <a:ext uri="{147F2762-F138-4A5C-976F-8EAC2B608ADB}">
              <a16:predDERef xmlns:a16="http://schemas.microsoft.com/office/drawing/2014/main" pred="{7EFEADFB-CE91-4488-B0B8-4A32ED1890B4}"/>
            </a:ext>
          </a:extLst>
        </xdr:cNvPr>
        <xdr:cNvCxnSpPr>
          <a:cxnSpLocks/>
        </xdr:cNvCxnSpPr>
      </xdr:nvCxnSpPr>
      <xdr:spPr>
        <a:xfrm>
          <a:off x="46986825" y="6229350"/>
          <a:ext cx="952500" cy="600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257175</xdr:colOff>
      <xdr:row>0</xdr:row>
      <xdr:rowOff>95250</xdr:rowOff>
    </xdr:from>
    <xdr:to>
      <xdr:col>3</xdr:col>
      <xdr:colOff>1228725</xdr:colOff>
      <xdr:row>4</xdr:row>
      <xdr:rowOff>0</xdr:rowOff>
    </xdr:to>
    <xdr:pic>
      <xdr:nvPicPr>
        <xdr:cNvPr id="2" name="Imagem 1" descr="Logotipo De Saúde E Bem Estar Design De Logotipo De Centro ...">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800100" y="95250"/>
          <a:ext cx="971550" cy="10775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Eduardo/Google%20Drive/Escritorio%20de%20Projetos/Modelos/02-Planejamento/Estimativas%20de%20Custo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sources/directory/32a430fa-0843-4045-aaf0-553c90496470.ExcelAutomationServiceFrontend.WorkingDir/NoAVScans/c3e9926f-4891-4bc7-9551-dd8e77df89b2/in/Gr&#225;fico%20de%20Gantt%20simpl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Eduardo/Dropbox/BDS%20-%20Projeto%20B3/Portfolio%20de%20Projetos.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19020057/Downloads/Planilha%20de%20gest&#227;o%20de%20risco.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19020057/Downloads/Projeto%20Aimar%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Estimativas"/>
      <sheetName val="Param"/>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nogramaDeProjeto"/>
      <sheetName val="Sobre"/>
    </sheetNames>
    <sheetDataSet>
      <sheetData sheetId="0">
        <row r="8">
          <cell r="H8" t="str">
            <v/>
          </cell>
        </row>
        <row r="9">
          <cell r="E9">
            <v>45174</v>
          </cell>
          <cell r="F9">
            <v>45177</v>
          </cell>
        </row>
        <row r="10">
          <cell r="E10">
            <v>45177</v>
          </cell>
          <cell r="F10">
            <v>45179</v>
          </cell>
          <cell r="H10">
            <v>3</v>
          </cell>
        </row>
        <row r="11">
          <cell r="E11">
            <v>45179</v>
          </cell>
          <cell r="F11">
            <v>45183</v>
          </cell>
          <cell r="H11">
            <v>5</v>
          </cell>
        </row>
        <row r="12">
          <cell r="E12">
            <v>45183</v>
          </cell>
          <cell r="F12">
            <v>45188</v>
          </cell>
          <cell r="H12">
            <v>6</v>
          </cell>
        </row>
        <row r="13">
          <cell r="E13">
            <v>45178</v>
          </cell>
          <cell r="F13">
            <v>45180</v>
          </cell>
          <cell r="H13">
            <v>3</v>
          </cell>
        </row>
        <row r="14">
          <cell r="H14" t="str">
            <v/>
          </cell>
        </row>
        <row r="15">
          <cell r="E15">
            <v>45179</v>
          </cell>
          <cell r="F15">
            <v>45183</v>
          </cell>
          <cell r="H15">
            <v>5</v>
          </cell>
        </row>
        <row r="16">
          <cell r="E16">
            <v>45181</v>
          </cell>
          <cell r="F16">
            <v>45186</v>
          </cell>
          <cell r="H16">
            <v>6</v>
          </cell>
        </row>
        <row r="17">
          <cell r="E17">
            <v>45186</v>
          </cell>
          <cell r="F17">
            <v>45189</v>
          </cell>
          <cell r="H17">
            <v>4</v>
          </cell>
        </row>
        <row r="18">
          <cell r="E18">
            <v>45186</v>
          </cell>
          <cell r="F18">
            <v>45188</v>
          </cell>
          <cell r="H18">
            <v>3</v>
          </cell>
        </row>
        <row r="19">
          <cell r="E19">
            <v>45186</v>
          </cell>
          <cell r="F19">
            <v>45189</v>
          </cell>
          <cell r="H19">
            <v>4</v>
          </cell>
        </row>
        <row r="20">
          <cell r="H20" t="str">
            <v/>
          </cell>
        </row>
        <row r="21">
          <cell r="E21">
            <v>45189</v>
          </cell>
          <cell r="F21">
            <v>45194</v>
          </cell>
          <cell r="H21">
            <v>6</v>
          </cell>
        </row>
        <row r="22">
          <cell r="E22">
            <v>45195</v>
          </cell>
          <cell r="F22">
            <v>45199</v>
          </cell>
          <cell r="H22">
            <v>5</v>
          </cell>
        </row>
        <row r="23">
          <cell r="E23">
            <v>45200</v>
          </cell>
          <cell r="F23">
            <v>45205</v>
          </cell>
          <cell r="H23">
            <v>6</v>
          </cell>
        </row>
        <row r="24">
          <cell r="E24">
            <v>45206</v>
          </cell>
          <cell r="F24">
            <v>45210</v>
          </cell>
          <cell r="H24">
            <v>5</v>
          </cell>
        </row>
        <row r="25">
          <cell r="E25">
            <v>45200</v>
          </cell>
          <cell r="F25">
            <v>45204</v>
          </cell>
          <cell r="H25">
            <v>5</v>
          </cell>
        </row>
        <row r="26">
          <cell r="H26" t="str">
            <v/>
          </cell>
        </row>
        <row r="27">
          <cell r="E27" t="str">
            <v>data</v>
          </cell>
          <cell r="F27" t="str">
            <v>data</v>
          </cell>
          <cell r="H27" t="e">
            <v>#VALUE!</v>
          </cell>
        </row>
        <row r="28">
          <cell r="E28" t="str">
            <v>data</v>
          </cell>
          <cell r="F28" t="str">
            <v>data</v>
          </cell>
          <cell r="H28" t="e">
            <v>#VALUE!</v>
          </cell>
        </row>
        <row r="29">
          <cell r="E29" t="str">
            <v>data</v>
          </cell>
          <cell r="F29" t="str">
            <v>data</v>
          </cell>
          <cell r="H29" t="e">
            <v>#VALUE!</v>
          </cell>
        </row>
        <row r="30">
          <cell r="E30" t="str">
            <v>data</v>
          </cell>
          <cell r="F30" t="str">
            <v>data</v>
          </cell>
          <cell r="H30" t="e">
            <v>#VALUE!</v>
          </cell>
        </row>
        <row r="31">
          <cell r="E31" t="str">
            <v>data</v>
          </cell>
          <cell r="F31" t="str">
            <v>data</v>
          </cell>
          <cell r="H31" t="e">
            <v>#VALUE!</v>
          </cell>
        </row>
        <row r="32">
          <cell r="H32" t="str">
            <v/>
          </cell>
        </row>
        <row r="33">
          <cell r="H33" t="str">
            <v/>
          </cell>
        </row>
      </sheetData>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Projetos"/>
      <sheetName val="Budget"/>
      <sheetName val="Config"/>
      <sheetName val="Issues"/>
      <sheetName val="Pendencias"/>
      <sheetName val="Pool"/>
      <sheetName val="Project"/>
      <sheetName val="Param"/>
      <sheetName val="Status"/>
      <sheetName val="SR"/>
      <sheetName val="SR.Modelo"/>
      <sheetName val="Prj-Venc"/>
      <sheetName val="Prj-Andam"/>
      <sheetName val="Prj-Prox"/>
      <sheetName val="Prj-Entr"/>
      <sheetName val="Prj-Concl"/>
      <sheetName val="Prj-FaseAtual"/>
      <sheetName val="Prj-NConc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5">
          <cell r="AB5" t="str">
            <v>Diária</v>
          </cell>
        </row>
        <row r="6">
          <cell r="AB6" t="str">
            <v>Semanal</v>
          </cell>
        </row>
        <row r="7">
          <cell r="AB7" t="str">
            <v>Bissemanal</v>
          </cell>
        </row>
        <row r="8">
          <cell r="AB8" t="str">
            <v>Mensal</v>
          </cell>
        </row>
        <row r="15">
          <cell r="D15" t="str">
            <v>Pt-br</v>
          </cell>
          <cell r="E15" t="str">
            <v>Inglês</v>
          </cell>
        </row>
        <row r="24">
          <cell r="C24" t="str">
            <v>Cliente</v>
          </cell>
        </row>
        <row r="25">
          <cell r="C25" t="str">
            <v>Interno</v>
          </cell>
        </row>
        <row r="26">
          <cell r="C26" t="str">
            <v>Teste</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Histórico de evolução(não)"/>
      <sheetName val="Sensibilidade ao Risco"/>
    </sheetNames>
    <sheetDataSet>
      <sheetData sheetId="0">
        <row r="6">
          <cell r="E6" t="str">
            <v>[sigla do projeto] - Nome do Projeto</v>
          </cell>
        </row>
      </sheetData>
      <sheetData sheetId="1" refreshError="1"/>
      <sheetData sheetId="2">
        <row r="2">
          <cell r="E2">
            <v>2.1524999999999999</v>
          </cell>
          <cell r="F2" t="str">
            <v>Muito baixa - 0,05</v>
          </cell>
        </row>
        <row r="3">
          <cell r="E3">
            <v>2.2050000000000001</v>
          </cell>
          <cell r="F3" t="str">
            <v>Baixa - 0,10</v>
          </cell>
        </row>
        <row r="4">
          <cell r="E4">
            <v>2.3100000000000005</v>
          </cell>
          <cell r="F4" t="str">
            <v>Baixa - 0,10</v>
          </cell>
        </row>
        <row r="5">
          <cell r="E5">
            <v>2.52</v>
          </cell>
          <cell r="F5" t="str">
            <v>Moderada - 0,20</v>
          </cell>
        </row>
        <row r="6">
          <cell r="E6">
            <v>2.94</v>
          </cell>
          <cell r="F6" t="str">
            <v>Alta - 0,40</v>
          </cell>
        </row>
        <row r="8">
          <cell r="E8">
            <v>2.2549999999999999</v>
          </cell>
          <cell r="F8" t="str">
            <v>Baixa - 0,10</v>
          </cell>
        </row>
        <row r="9">
          <cell r="E9">
            <v>2.3100000000000005</v>
          </cell>
          <cell r="F9" t="str">
            <v>Baixa - 0,10</v>
          </cell>
        </row>
        <row r="10">
          <cell r="E10">
            <v>2.4200000000000004</v>
          </cell>
          <cell r="F10" t="str">
            <v>Moderada - 0,20</v>
          </cell>
        </row>
        <row r="11">
          <cell r="E11">
            <v>2.64</v>
          </cell>
          <cell r="F11" t="str">
            <v>Alta - 0,40</v>
          </cell>
        </row>
        <row r="12">
          <cell r="E12">
            <v>3.08</v>
          </cell>
          <cell r="F12" t="str">
            <v>Alta - 0,40</v>
          </cell>
        </row>
        <row r="14">
          <cell r="E14">
            <v>2.4599999999999995</v>
          </cell>
          <cell r="F14" t="str">
            <v>Moderada - 0,20</v>
          </cell>
        </row>
        <row r="15">
          <cell r="E15">
            <v>2.52</v>
          </cell>
          <cell r="F15" t="str">
            <v>Moderada - 0,20</v>
          </cell>
        </row>
        <row r="16">
          <cell r="E16">
            <v>2.64</v>
          </cell>
          <cell r="F16" t="str">
            <v>Alta - 0,40</v>
          </cell>
        </row>
        <row r="17">
          <cell r="E17">
            <v>2.88</v>
          </cell>
          <cell r="F17" t="str">
            <v>Alta - 0,40</v>
          </cell>
        </row>
        <row r="18">
          <cell r="E18">
            <v>3.36</v>
          </cell>
          <cell r="F18" t="str">
            <v>Muito Alta - 0,80</v>
          </cell>
        </row>
        <row r="20">
          <cell r="E20">
            <v>2.8699999999999997</v>
          </cell>
          <cell r="F20" t="str">
            <v>Moderada - 0,20</v>
          </cell>
        </row>
        <row r="21">
          <cell r="E21">
            <v>2.94</v>
          </cell>
          <cell r="F21" t="str">
            <v>Moderada - 0,20</v>
          </cell>
        </row>
        <row r="22">
          <cell r="E22">
            <v>3.08</v>
          </cell>
          <cell r="F22" t="str">
            <v>Alta - 0,40</v>
          </cell>
        </row>
        <row r="23">
          <cell r="E23">
            <v>3.36</v>
          </cell>
          <cell r="F23" t="str">
            <v>Muito Alta - 0,80</v>
          </cell>
        </row>
        <row r="24">
          <cell r="E24">
            <v>3.9199999999999995</v>
          </cell>
          <cell r="F24" t="str">
            <v>Muito Alta - 0,80</v>
          </cell>
        </row>
        <row r="26">
          <cell r="E26">
            <v>3.69</v>
          </cell>
          <cell r="F26" t="str">
            <v>Alta - 0,40</v>
          </cell>
        </row>
        <row r="27">
          <cell r="E27">
            <v>3.7800000000000002</v>
          </cell>
          <cell r="F27" t="str">
            <v>Alta - 0,40</v>
          </cell>
        </row>
        <row r="28">
          <cell r="E28">
            <v>3.9600000000000004</v>
          </cell>
          <cell r="F28" t="str">
            <v>Muito Alta - 0,80</v>
          </cell>
        </row>
        <row r="29">
          <cell r="E29">
            <v>4.32</v>
          </cell>
          <cell r="F29" t="str">
            <v>Muito Alta - 0,80</v>
          </cell>
        </row>
        <row r="30">
          <cell r="E30">
            <v>5.04</v>
          </cell>
          <cell r="F30" t="str">
            <v>Muito Alta - 0,80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BS-MACRO-ATIVIDADE"/>
      <sheetName val="WBS_Detalhado (ordem etapas)"/>
      <sheetName val="Diagrama de rede-precedência"/>
      <sheetName val="WBS_Detalhado (ordem depend)"/>
      <sheetName val="Gráfico de Gantt"/>
      <sheetName val="PV_dependência"/>
      <sheetName val="Cronograma_de_Custos (2)"/>
    </sheetNames>
    <sheetDataSet>
      <sheetData sheetId="0" refreshError="1"/>
      <sheetData sheetId="1" refreshError="1"/>
      <sheetData sheetId="2" refreshError="1"/>
      <sheetData sheetId="3" refreshError="1"/>
      <sheetData sheetId="4">
        <row r="5">
          <cell r="G5">
            <v>45160</v>
          </cell>
        </row>
        <row r="6">
          <cell r="G6">
            <v>1</v>
          </cell>
        </row>
      </sheetData>
      <sheetData sheetId="5" refreshError="1"/>
      <sheetData sheetId="6"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19020057/Documents/C&#243;pia%20de%20Projeto%20Aimar%20atualizado.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 Alice Aparecida Guilherme" refreshedDate="45174.913077893521" createdVersion="1" refreshedVersion="4" recordCount="50" xr:uid="{00000000-000A-0000-FFFF-FFFF01000000}">
  <cacheSource type="worksheet">
    <worksheetSource ref="B9:K72" sheet="WBS_Detalhado (ordem etapas)" r:id="rId2"/>
  </cacheSource>
  <cacheFields count="8">
    <cacheField name="Ref" numFmtId="0">
      <sharedItems containsMixedTypes="1" containsNumber="1" containsInteger="1" minValue="1" maxValue="10" count="50">
        <n v="1"/>
        <s v="1.1"/>
        <s v="1.2"/>
        <s v="1.3"/>
        <n v="2"/>
        <s v="2.1"/>
        <s v="2.2"/>
        <s v="2.2.1"/>
        <s v="2.2.2"/>
        <s v="2.2.3"/>
        <s v="2.2.4"/>
        <s v="2.3"/>
        <n v="3"/>
        <s v="3.1"/>
        <s v="3.1.1"/>
        <s v="3.1.2"/>
        <s v="3.2"/>
        <s v="3.2.1"/>
        <s v="3.2.2"/>
        <n v="4"/>
        <s v="4.1"/>
        <s v="4.1.2"/>
        <s v="4.2"/>
        <s v="4.2.1"/>
        <s v="4.2.2"/>
        <s v="4.2.3"/>
        <n v="5"/>
        <s v="5.1"/>
        <s v="5.2"/>
        <s v="5.3"/>
        <n v="6"/>
        <s v="6.1"/>
        <s v="6.1.2"/>
        <s v="6.1.3"/>
        <n v="7"/>
        <s v="7.1.1"/>
        <s v="7.1.2"/>
        <s v="7.1.3"/>
        <n v="8"/>
        <s v="8.1.1"/>
        <s v="8.1.2"/>
        <s v="8.1.3"/>
        <n v="9"/>
        <s v="9.1.1"/>
        <s v="9.1.2"/>
        <s v="9.1.3"/>
        <n v="10"/>
        <s v="10.1.1"/>
        <s v="10.1.2"/>
        <s v="10.1.3"/>
      </sharedItems>
    </cacheField>
    <cacheField name="Etapas – Atividades - " numFmtId="0">
      <sharedItems count="49">
        <s v="Iniciação"/>
        <s v="Definir os objetivos do aplicativo e sua proposta de valor"/>
        <s v="Identificar as principais funcionalidades e recursos a serem incluídos"/>
        <s v="Formar uma equipe de desenvolvimento e design"/>
        <s v="Planejamento"/>
        <s v="Realizar uma análise de mercado para entender concorrentes e demandas"/>
        <s v="Definir os requisitos detalhados do aplicativo (escopo)"/>
        <s v="Dicas de saúde e bem-estar"/>
        <s v="Planos de exercícios físicos personalizados"/>
        <s v="Mapas com locais de academias e parques"/>
        <s v="Integração com sistemas de monitoramento de saúde"/>
        <s v="Criar um cronograma detalhado com marcos e prazos"/>
        <s v="Design e Prototipagem"/>
        <s v="Realizar o design da interface do usuário (UI)"/>
        <s v="Navegação simples entre as funcionalidades"/>
        <s v="Criar protótipos interativos para validar o fluxo de usuário"/>
        <s v=" Experiência do usuário (UX)"/>
        <s v="Interface limpa e intuitiva"/>
        <s v="Teste de UI / UX"/>
        <s v="Desenvolvimento"/>
        <s v="Desenvolver a estrutura do aplicativo"/>
        <s v="Front-end: Interface do usuário e interações"/>
        <s v="Implementar as funcionalidades principais"/>
        <s v="Módulo de dicas de saúde"/>
        <s v="Gerador de planos de exercícios"/>
        <s v="Integração com APIs de mapas para localização de academias e parques"/>
        <s v="Integrar o aplicativo com sistemas de monitoramento de saúde, como dispositivos wearable ou aplicativos de rastreamento"/>
        <s v="Garantir a segurança e privacidade dos dados do usuário"/>
        <s v="Testar a integração para assegurar que os dados são sincronizados corretamente"/>
        <s v="Testes"/>
        <s v="Realizar testes de qualidade e desempenho em diversas plataformas (iOS, Android)"/>
        <s v="Testar a usabilidade do aplicativo com usuários reais"/>
        <s v="Identificar e corrigir bugs e problemas de interface"/>
        <s v="Lançamento"/>
        <s v="Preparar a infraestrutura para o lançamento nas lojas de aplicativos (App Store, Google Play)"/>
        <s v="Criar materiais de marketing, como vídeos promocionais e descrições claras"/>
        <s v="Submeter o aplicativo para revisão nas lojas de aplicativos"/>
        <s v="Pós-lançamento"/>
        <s v="Monitorar o feedback dos usuários e analisar métricas de uso"/>
        <s v="Realizar atualizações periódicas para adicionar novas funcionalidades e melhorias"/>
        <s v="Oferecer suporte ao cliente para solucionar problemas e responder dúvidas"/>
        <s v="Marketing e Divulgação"/>
        <s v="Criar estratégias de marketing digital para aumentar a visibilidade do aplicativo"/>
        <s v="Colaborar com influenciadores de saúde e bem-estar para promoção"/>
        <s v="Realizar campanhas de mídia social e anúncios online"/>
        <s v="Avaliação e Aperfeiçoamento"/>
        <s v="Realizar análises regulares sobre o desempenho do aplicativo"/>
        <s v="Explorar parcerias com empresas relacionadas à saúde e bem-estar"/>
        <s v="Avaliar a possibilidade de oferecer versões premium ou modelos de assinatura"/>
      </sharedItems>
    </cacheField>
    <cacheField name="Dependência" numFmtId="0">
      <sharedItems containsBlank="1" count="36">
        <m/>
        <s v="1.1"/>
        <s v="1.3"/>
        <s v="2.1"/>
        <s v="2.2"/>
        <s v="2.3"/>
        <s v="3.1"/>
        <s v="3.1.1"/>
        <s v="3.1.2"/>
        <s v="3.2"/>
        <s v="3.2.2"/>
        <s v="3.2.1"/>
        <s v="4.1"/>
        <s v="4.1.2"/>
        <s v="4.2"/>
        <s v="4.2.1"/>
        <s v="4.2.2"/>
        <s v="4.2.3"/>
        <s v="5.1"/>
        <s v="5.2"/>
        <s v="5.3"/>
        <s v="6.1"/>
        <s v="6.1.2"/>
        <s v="6.1.3"/>
        <s v="7.1.1"/>
        <s v="7.1.2"/>
        <s v="7.1.3"/>
        <s v="8.1.1"/>
        <s v="8.1.2"/>
        <s v="8.1.3"/>
        <s v="9.1.1"/>
        <s v="9.1.2"/>
        <s v="9.1.3"/>
        <s v="10.1.1"/>
        <s v="10.1.2"/>
        <s v="10.1.3"/>
      </sharedItems>
    </cacheField>
    <cacheField name="Duração em semanas" numFmtId="0">
      <sharedItems containsString="0" containsBlank="1" containsNumber="1" containsInteger="1" minValue="1" maxValue="2"/>
    </cacheField>
    <cacheField name="Conclusão" numFmtId="0">
      <sharedItems containsBlank="1"/>
    </cacheField>
    <cacheField name="Responsável" numFmtId="0">
      <sharedItems containsBlank="1" count="11">
        <m/>
        <s v="GERENTE DE PROJETO"/>
        <s v="DESIGN"/>
        <s v="DESENVOLVIMENTO"/>
        <s v="SEGURANÇA"/>
        <s v="QUALIDADE"/>
        <s v="UX"/>
        <s v="REDES"/>
        <s v="COMERCIAL"/>
        <s v="EQUIPE TÉCNICA"/>
        <s v="DESEMPENHO"/>
      </sharedItems>
    </cacheField>
    <cacheField name="Recursos                                    " numFmtId="0">
      <sharedItems containsBlank="1"/>
    </cacheField>
    <cacheField name="Custos" numFmtId="0">
      <sharedItems containsString="0" containsBlank="1" containsNumber="1" containsInteger="1" minValue="200" maxValue="3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0">
  <r>
    <x v="0"/>
    <x v="0"/>
    <x v="0"/>
    <m/>
    <m/>
    <x v="0"/>
    <m/>
    <m/>
  </r>
  <r>
    <x v="1"/>
    <x v="1"/>
    <x v="1"/>
    <n v="1"/>
    <s v="1ª"/>
    <x v="1"/>
    <s v="Pessoas"/>
    <n v="1000"/>
  </r>
  <r>
    <x v="2"/>
    <x v="2"/>
    <x v="1"/>
    <n v="1"/>
    <s v="1ª"/>
    <x v="1"/>
    <s v="Pessoas"/>
    <n v="2000"/>
  </r>
  <r>
    <x v="3"/>
    <x v="3"/>
    <x v="1"/>
    <n v="1"/>
    <s v="1ª"/>
    <x v="1"/>
    <s v="Pessoas"/>
    <n v="1000"/>
  </r>
  <r>
    <x v="4"/>
    <x v="4"/>
    <x v="2"/>
    <m/>
    <m/>
    <x v="0"/>
    <m/>
    <m/>
  </r>
  <r>
    <x v="5"/>
    <x v="5"/>
    <x v="3"/>
    <n v="1"/>
    <s v="3ª"/>
    <x v="1"/>
    <s v="Pessoas"/>
    <n v="2000"/>
  </r>
  <r>
    <x v="6"/>
    <x v="6"/>
    <x v="2"/>
    <n v="1"/>
    <s v="3ª"/>
    <x v="1"/>
    <s v="Pessoas"/>
    <n v="700"/>
  </r>
  <r>
    <x v="7"/>
    <x v="7"/>
    <x v="4"/>
    <n v="1"/>
    <s v="4ª"/>
    <x v="1"/>
    <s v="Pessoas"/>
    <n v="500"/>
  </r>
  <r>
    <x v="8"/>
    <x v="8"/>
    <x v="4"/>
    <n v="1"/>
    <s v="4ª"/>
    <x v="1"/>
    <s v="Pessoas"/>
    <n v="1000"/>
  </r>
  <r>
    <x v="9"/>
    <x v="9"/>
    <x v="4"/>
    <n v="1"/>
    <s v="4ª"/>
    <x v="1"/>
    <s v="Pessoas"/>
    <n v="800"/>
  </r>
  <r>
    <x v="10"/>
    <x v="10"/>
    <x v="4"/>
    <n v="1"/>
    <s v="4ª"/>
    <x v="1"/>
    <s v="Pessoas"/>
    <n v="200"/>
  </r>
  <r>
    <x v="11"/>
    <x v="11"/>
    <x v="4"/>
    <n v="2"/>
    <s v="5ª"/>
    <x v="1"/>
    <s v="Pessoas"/>
    <n v="400"/>
  </r>
  <r>
    <x v="12"/>
    <x v="12"/>
    <x v="5"/>
    <m/>
    <m/>
    <x v="0"/>
    <m/>
    <m/>
  </r>
  <r>
    <x v="13"/>
    <x v="13"/>
    <x v="2"/>
    <n v="1"/>
    <s v="4ª"/>
    <x v="2"/>
    <s v="Pessoas"/>
    <n v="2000"/>
  </r>
  <r>
    <x v="14"/>
    <x v="14"/>
    <x v="6"/>
    <n v="1"/>
    <s v="6ª"/>
    <x v="2"/>
    <s v="Pessoas"/>
    <n v="500"/>
  </r>
  <r>
    <x v="15"/>
    <x v="15"/>
    <x v="7"/>
    <n v="1"/>
    <s v="7ª"/>
    <x v="2"/>
    <s v="Pessoas"/>
    <n v="500"/>
  </r>
  <r>
    <x v="16"/>
    <x v="16"/>
    <x v="8"/>
    <n v="1"/>
    <s v="4ª"/>
    <x v="2"/>
    <s v="Pessoas"/>
    <n v="1000"/>
  </r>
  <r>
    <x v="17"/>
    <x v="17"/>
    <x v="9"/>
    <n v="2"/>
    <s v="6ª"/>
    <x v="2"/>
    <s v="Pessoas"/>
    <n v="500"/>
  </r>
  <r>
    <x v="18"/>
    <x v="18"/>
    <x v="10"/>
    <n v="2"/>
    <s v="6ª"/>
    <x v="2"/>
    <s v="Pessoas"/>
    <n v="700"/>
  </r>
  <r>
    <x v="19"/>
    <x v="19"/>
    <x v="11"/>
    <m/>
    <m/>
    <x v="0"/>
    <m/>
    <m/>
  </r>
  <r>
    <x v="20"/>
    <x v="20"/>
    <x v="12"/>
    <n v="2"/>
    <s v="5ª"/>
    <x v="3"/>
    <s v="Pessoas"/>
    <n v="500"/>
  </r>
  <r>
    <x v="21"/>
    <x v="21"/>
    <x v="13"/>
    <n v="1"/>
    <s v="6ª"/>
    <x v="3"/>
    <s v="Pessoas"/>
    <n v="5000"/>
  </r>
  <r>
    <x v="22"/>
    <x v="22"/>
    <x v="14"/>
    <n v="1"/>
    <s v="5ª"/>
    <x v="3"/>
    <s v="Pessoas"/>
    <n v="700"/>
  </r>
  <r>
    <x v="23"/>
    <x v="23"/>
    <x v="15"/>
    <n v="2"/>
    <s v="7ª"/>
    <x v="3"/>
    <s v="Pessoas"/>
    <n v="500"/>
  </r>
  <r>
    <x v="24"/>
    <x v="24"/>
    <x v="16"/>
    <n v="1"/>
    <s v="8ª"/>
    <x v="3"/>
    <s v="Pessoas"/>
    <n v="300"/>
  </r>
  <r>
    <x v="25"/>
    <x v="25"/>
    <x v="17"/>
    <n v="2"/>
    <s v="9ª"/>
    <x v="3"/>
    <s v="Pessoas"/>
    <n v="1000"/>
  </r>
  <r>
    <x v="26"/>
    <x v="10"/>
    <x v="0"/>
    <m/>
    <m/>
    <x v="0"/>
    <m/>
    <m/>
  </r>
  <r>
    <x v="27"/>
    <x v="26"/>
    <x v="18"/>
    <n v="2"/>
    <s v="12ª"/>
    <x v="4"/>
    <s v="Pessoas"/>
    <n v="3000"/>
  </r>
  <r>
    <x v="28"/>
    <x v="27"/>
    <x v="19"/>
    <n v="2"/>
    <s v="12ª"/>
    <x v="4"/>
    <s v="Pessoas"/>
    <n v="1000"/>
  </r>
  <r>
    <x v="29"/>
    <x v="28"/>
    <x v="20"/>
    <m/>
    <s v="12ª"/>
    <x v="4"/>
    <s v="Pessoas"/>
    <n v="1000"/>
  </r>
  <r>
    <x v="30"/>
    <x v="29"/>
    <x v="0"/>
    <m/>
    <m/>
    <x v="0"/>
    <m/>
    <m/>
  </r>
  <r>
    <x v="31"/>
    <x v="30"/>
    <x v="21"/>
    <n v="1"/>
    <s v="13ª"/>
    <x v="5"/>
    <s v="Pessoas"/>
    <n v="30000"/>
  </r>
  <r>
    <x v="32"/>
    <x v="31"/>
    <x v="22"/>
    <n v="1"/>
    <s v="13ª"/>
    <x v="6"/>
    <s v="Pessoas"/>
    <n v="700"/>
  </r>
  <r>
    <x v="33"/>
    <x v="32"/>
    <x v="23"/>
    <n v="1"/>
    <s v="13ª"/>
    <x v="4"/>
    <s v="Pessoas"/>
    <n v="500"/>
  </r>
  <r>
    <x v="34"/>
    <x v="33"/>
    <x v="0"/>
    <m/>
    <m/>
    <x v="0"/>
    <m/>
    <m/>
  </r>
  <r>
    <x v="35"/>
    <x v="34"/>
    <x v="24"/>
    <n v="2"/>
    <s v="14ª"/>
    <x v="7"/>
    <s v="Pessoas"/>
    <n v="15000"/>
  </r>
  <r>
    <x v="36"/>
    <x v="35"/>
    <x v="25"/>
    <n v="2"/>
    <s v="14ª"/>
    <x v="8"/>
    <s v="Pessoas"/>
    <n v="10000"/>
  </r>
  <r>
    <x v="37"/>
    <x v="36"/>
    <x v="26"/>
    <n v="2"/>
    <s v="14ª"/>
    <x v="8"/>
    <s v="Pessoas"/>
    <n v="10000"/>
  </r>
  <r>
    <x v="38"/>
    <x v="37"/>
    <x v="0"/>
    <m/>
    <m/>
    <x v="0"/>
    <m/>
    <m/>
  </r>
  <r>
    <x v="39"/>
    <x v="38"/>
    <x v="27"/>
    <n v="2"/>
    <s v="15ª"/>
    <x v="9"/>
    <s v="Pessoas"/>
    <n v="5000"/>
  </r>
  <r>
    <x v="40"/>
    <x v="39"/>
    <x v="28"/>
    <n v="2"/>
    <s v="15ª"/>
    <x v="9"/>
    <s v="Pessoas"/>
    <n v="4000"/>
  </r>
  <r>
    <x v="41"/>
    <x v="40"/>
    <x v="29"/>
    <n v="2"/>
    <s v="15ª"/>
    <x v="9"/>
    <s v="Pessoas"/>
    <n v="1000"/>
  </r>
  <r>
    <x v="42"/>
    <x v="41"/>
    <x v="0"/>
    <m/>
    <m/>
    <x v="0"/>
    <m/>
    <m/>
  </r>
  <r>
    <x v="43"/>
    <x v="42"/>
    <x v="30"/>
    <n v="2"/>
    <s v="16ª"/>
    <x v="9"/>
    <s v="Pessoas"/>
    <n v="10000"/>
  </r>
  <r>
    <x v="44"/>
    <x v="43"/>
    <x v="31"/>
    <n v="2"/>
    <s v="16ª"/>
    <x v="9"/>
    <s v="Pessoas"/>
    <n v="20000"/>
  </r>
  <r>
    <x v="45"/>
    <x v="44"/>
    <x v="32"/>
    <n v="2"/>
    <s v="16ª"/>
    <x v="9"/>
    <s v="Pessoas"/>
    <n v="10000"/>
  </r>
  <r>
    <x v="46"/>
    <x v="45"/>
    <x v="0"/>
    <m/>
    <m/>
    <x v="0"/>
    <m/>
    <m/>
  </r>
  <r>
    <x v="47"/>
    <x v="46"/>
    <x v="33"/>
    <n v="2"/>
    <s v="17ª"/>
    <x v="10"/>
    <s v="Pessoas"/>
    <n v="4000"/>
  </r>
  <r>
    <x v="48"/>
    <x v="47"/>
    <x v="34"/>
    <n v="2"/>
    <s v="17ª"/>
    <x v="8"/>
    <s v="Pessoas"/>
    <n v="1000"/>
  </r>
  <r>
    <x v="49"/>
    <x v="48"/>
    <x v="35"/>
    <n v="2"/>
    <s v="17ª"/>
    <x v="8"/>
    <s v="Pessoas"/>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Tabela dinâmica2"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fieldListSortAscending="1">
  <location ref="A3:E55" firstHeaderRow="2" firstDataRow="2" firstDataCol="4"/>
  <pivotFields count="8">
    <pivotField axis="axisRow" compact="0" outline="0" showAll="0" includeNewItemsInFilter="1" defaultSubtotal="0">
      <items count="50">
        <item x="0"/>
        <item x="4"/>
        <item x="12"/>
        <item x="19"/>
        <item x="26"/>
        <item x="30"/>
        <item x="34"/>
        <item x="38"/>
        <item x="42"/>
        <item x="46"/>
        <item x="1"/>
        <item x="2"/>
        <item x="3"/>
        <item x="47"/>
        <item x="48"/>
        <item x="49"/>
        <item x="5"/>
        <item x="6"/>
        <item x="7"/>
        <item x="8"/>
        <item x="9"/>
        <item x="10"/>
        <item x="11"/>
        <item x="13"/>
        <item x="14"/>
        <item x="15"/>
        <item x="16"/>
        <item x="17"/>
        <item x="20"/>
        <item x="21"/>
        <item x="22"/>
        <item x="23"/>
        <item x="24"/>
        <item x="25"/>
        <item x="27"/>
        <item x="28"/>
        <item x="29"/>
        <item x="31"/>
        <item x="32"/>
        <item x="33"/>
        <item x="35"/>
        <item x="36"/>
        <item x="37"/>
        <item x="39"/>
        <item x="40"/>
        <item x="41"/>
        <item x="43"/>
        <item x="44"/>
        <item x="45"/>
        <item x="18"/>
      </items>
    </pivotField>
    <pivotField axis="axisRow" compact="0" outline="0" showAll="0" includeNewItemsInFilter="1" defaultSubtotal="0">
      <items count="49">
        <item x="16"/>
        <item x="45"/>
        <item x="48"/>
        <item x="43"/>
        <item x="42"/>
        <item x="35"/>
        <item x="15"/>
        <item x="11"/>
        <item x="1"/>
        <item x="6"/>
        <item x="20"/>
        <item x="19"/>
        <item x="12"/>
        <item x="7"/>
        <item x="47"/>
        <item x="3"/>
        <item x="21"/>
        <item x="27"/>
        <item x="24"/>
        <item x="2"/>
        <item x="32"/>
        <item x="22"/>
        <item x="0"/>
        <item x="25"/>
        <item x="10"/>
        <item x="26"/>
        <item x="17"/>
        <item x="33"/>
        <item x="9"/>
        <item x="41"/>
        <item x="23"/>
        <item x="38"/>
        <item x="14"/>
        <item x="40"/>
        <item x="4"/>
        <item x="8"/>
        <item x="37"/>
        <item x="34"/>
        <item x="46"/>
        <item x="39"/>
        <item x="44"/>
        <item x="13"/>
        <item x="30"/>
        <item x="5"/>
        <item x="36"/>
        <item x="28"/>
        <item x="31"/>
        <item x="29"/>
        <item x="18"/>
      </items>
    </pivotField>
    <pivotField axis="axisRow" compact="0" outline="0" showAll="0" includeNewItemsInFilter="1" sortType="ascending" defaultSubtotal="0">
      <items count="36">
        <item x="1"/>
        <item x="2"/>
        <item x="33"/>
        <item x="34"/>
        <item x="35"/>
        <item x="3"/>
        <item x="4"/>
        <item x="5"/>
        <item x="6"/>
        <item x="7"/>
        <item x="8"/>
        <item x="9"/>
        <item x="11"/>
        <item x="10"/>
        <item x="12"/>
        <item x="13"/>
        <item x="14"/>
        <item x="15"/>
        <item x="16"/>
        <item x="17"/>
        <item x="18"/>
        <item x="19"/>
        <item x="20"/>
        <item x="21"/>
        <item x="22"/>
        <item x="23"/>
        <item x="24"/>
        <item x="25"/>
        <item x="26"/>
        <item x="27"/>
        <item x="28"/>
        <item x="29"/>
        <item x="30"/>
        <item x="31"/>
        <item x="32"/>
        <item x="0"/>
      </items>
    </pivotField>
    <pivotField compact="0" outline="0" showAll="0" includeNewItemsInFilter="1"/>
    <pivotField compact="0" outline="0" showAll="0" includeNewItemsInFilter="1"/>
    <pivotField axis="axisRow" compact="0" outline="0" showAll="0" includeNewItemsInFilter="1" defaultSubtotal="0">
      <items count="11">
        <item x="8"/>
        <item x="10"/>
        <item x="3"/>
        <item x="2"/>
        <item x="9"/>
        <item x="1"/>
        <item x="5"/>
        <item x="7"/>
        <item x="4"/>
        <item x="6"/>
        <item x="0"/>
      </items>
    </pivotField>
    <pivotField compact="0" outline="0" showAll="0" includeNewItemsInFilter="1"/>
    <pivotField dataField="1" compact="0" outline="0" showAll="0" includeNewItemsInFilter="1"/>
  </pivotFields>
  <rowFields count="4">
    <field x="2"/>
    <field x="5"/>
    <field x="1"/>
    <field x="0"/>
  </rowFields>
  <rowItems count="51">
    <i>
      <x/>
      <x v="5"/>
      <x v="8"/>
      <x v="10"/>
    </i>
    <i r="2">
      <x v="15"/>
      <x v="12"/>
    </i>
    <i r="2">
      <x v="19"/>
      <x v="11"/>
    </i>
    <i>
      <x v="1"/>
      <x v="3"/>
      <x v="41"/>
      <x v="23"/>
    </i>
    <i r="1">
      <x v="5"/>
      <x v="9"/>
      <x v="17"/>
    </i>
    <i r="1">
      <x v="10"/>
      <x v="34"/>
      <x v="1"/>
    </i>
    <i>
      <x v="2"/>
      <x v="1"/>
      <x v="38"/>
      <x v="13"/>
    </i>
    <i>
      <x v="3"/>
      <x/>
      <x v="14"/>
      <x v="14"/>
    </i>
    <i>
      <x v="4"/>
      <x/>
      <x v="2"/>
      <x v="15"/>
    </i>
    <i>
      <x v="5"/>
      <x v="5"/>
      <x v="43"/>
      <x v="16"/>
    </i>
    <i>
      <x v="6"/>
      <x v="5"/>
      <x v="7"/>
      <x v="22"/>
    </i>
    <i r="2">
      <x v="13"/>
      <x v="18"/>
    </i>
    <i r="2">
      <x v="24"/>
      <x v="21"/>
    </i>
    <i r="2">
      <x v="28"/>
      <x v="20"/>
    </i>
    <i r="2">
      <x v="35"/>
      <x v="19"/>
    </i>
    <i>
      <x v="7"/>
      <x v="10"/>
      <x v="12"/>
      <x v="2"/>
    </i>
    <i>
      <x v="8"/>
      <x v="3"/>
      <x v="32"/>
      <x v="24"/>
    </i>
    <i>
      <x v="9"/>
      <x v="3"/>
      <x v="6"/>
      <x v="25"/>
    </i>
    <i>
      <x v="10"/>
      <x v="3"/>
      <x/>
      <x v="26"/>
    </i>
    <i>
      <x v="11"/>
      <x v="3"/>
      <x v="26"/>
      <x v="27"/>
    </i>
    <i>
      <x v="12"/>
      <x v="10"/>
      <x v="11"/>
      <x v="3"/>
    </i>
    <i>
      <x v="13"/>
      <x v="3"/>
      <x v="48"/>
      <x v="49"/>
    </i>
    <i>
      <x v="14"/>
      <x v="2"/>
      <x v="10"/>
      <x v="28"/>
    </i>
    <i>
      <x v="15"/>
      <x v="2"/>
      <x v="16"/>
      <x v="29"/>
    </i>
    <i>
      <x v="16"/>
      <x v="2"/>
      <x v="21"/>
      <x v="30"/>
    </i>
    <i>
      <x v="17"/>
      <x v="2"/>
      <x v="30"/>
      <x v="31"/>
    </i>
    <i>
      <x v="18"/>
      <x v="2"/>
      <x v="18"/>
      <x v="32"/>
    </i>
    <i>
      <x v="19"/>
      <x v="2"/>
      <x v="23"/>
      <x v="33"/>
    </i>
    <i>
      <x v="20"/>
      <x v="8"/>
      <x v="25"/>
      <x v="34"/>
    </i>
    <i>
      <x v="21"/>
      <x v="8"/>
      <x v="17"/>
      <x v="35"/>
    </i>
    <i>
      <x v="22"/>
      <x v="8"/>
      <x v="45"/>
      <x v="36"/>
    </i>
    <i>
      <x v="23"/>
      <x v="6"/>
      <x v="42"/>
      <x v="37"/>
    </i>
    <i>
      <x v="24"/>
      <x v="9"/>
      <x v="46"/>
      <x v="38"/>
    </i>
    <i>
      <x v="25"/>
      <x v="8"/>
      <x v="20"/>
      <x v="39"/>
    </i>
    <i>
      <x v="26"/>
      <x v="7"/>
      <x v="37"/>
      <x v="40"/>
    </i>
    <i>
      <x v="27"/>
      <x/>
      <x v="5"/>
      <x v="41"/>
    </i>
    <i>
      <x v="28"/>
      <x/>
      <x v="44"/>
      <x v="42"/>
    </i>
    <i>
      <x v="29"/>
      <x v="4"/>
      <x v="31"/>
      <x v="43"/>
    </i>
    <i>
      <x v="30"/>
      <x v="4"/>
      <x v="39"/>
      <x v="44"/>
    </i>
    <i>
      <x v="31"/>
      <x v="4"/>
      <x v="33"/>
      <x v="45"/>
    </i>
    <i>
      <x v="32"/>
      <x v="4"/>
      <x v="4"/>
      <x v="46"/>
    </i>
    <i>
      <x v="33"/>
      <x v="4"/>
      <x v="3"/>
      <x v="47"/>
    </i>
    <i>
      <x v="34"/>
      <x v="4"/>
      <x v="40"/>
      <x v="48"/>
    </i>
    <i>
      <x v="35"/>
      <x v="10"/>
      <x v="1"/>
      <x v="9"/>
    </i>
    <i r="2">
      <x v="22"/>
      <x/>
    </i>
    <i r="2">
      <x v="24"/>
      <x v="4"/>
    </i>
    <i r="2">
      <x v="27"/>
      <x v="6"/>
    </i>
    <i r="2">
      <x v="29"/>
      <x v="8"/>
    </i>
    <i r="2">
      <x v="36"/>
      <x v="7"/>
    </i>
    <i r="2">
      <x v="47"/>
      <x v="5"/>
    </i>
    <i t="grand">
      <x/>
    </i>
  </rowItems>
  <colItems count="1">
    <i/>
  </colItems>
  <dataFields count="1">
    <dataField name="Soma de Custos" fld="7" baseField="0" baseItem="23"/>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7EECA-E4A5-4AC4-92D1-9A5A0224618E}">
  <sheetPr>
    <tabColor theme="7" tint="-0.249977111117893"/>
  </sheetPr>
  <dimension ref="A1"/>
  <sheetViews>
    <sheetView showGridLines="0" zoomScale="55" zoomScaleNormal="55" workbookViewId="0">
      <selection activeCell="H61" sqref="H61"/>
    </sheetView>
  </sheetViews>
  <sheetFormatPr defaultRowHeight="12.75" x14ac:dyDescent="0.2"/>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33867-9DCC-4422-A871-CBF18DA94BE2}">
  <dimension ref="A8:AV67"/>
  <sheetViews>
    <sheetView showGridLines="0" topLeftCell="AF20" zoomScale="70" zoomScaleNormal="70" workbookViewId="0">
      <selection activeCell="AB34" sqref="AB34"/>
    </sheetView>
  </sheetViews>
  <sheetFormatPr defaultRowHeight="12.75" x14ac:dyDescent="0.2"/>
  <cols>
    <col min="1" max="1" width="57.5703125" style="98" bestFit="1" customWidth="1"/>
    <col min="2" max="2" width="13.5703125" style="99" bestFit="1" customWidth="1"/>
    <col min="3" max="3" width="13.140625" style="99" bestFit="1" customWidth="1"/>
    <col min="4" max="4" width="21.42578125" style="99" bestFit="1" customWidth="1"/>
    <col min="5" max="7" width="9.140625" style="98"/>
    <col min="8" max="8" width="16" style="98" customWidth="1"/>
    <col min="9" max="9" width="27.28515625" style="98" bestFit="1" customWidth="1"/>
    <col min="10" max="10" width="9.140625" style="98"/>
    <col min="11" max="11" width="17.85546875" style="98" customWidth="1"/>
    <col min="12" max="12" width="25" style="98" bestFit="1" customWidth="1"/>
    <col min="13" max="14" width="9.140625" style="98"/>
    <col min="15" max="15" width="14" style="98" customWidth="1"/>
    <col min="16" max="16" width="24.7109375" style="98" customWidth="1"/>
    <col min="17" max="18" width="9.140625" style="98"/>
    <col min="19" max="19" width="17.28515625" style="98" customWidth="1"/>
    <col min="20" max="20" width="26.140625" style="98" customWidth="1"/>
    <col min="21" max="21" width="9.140625" style="98"/>
    <col min="22" max="22" width="12.7109375" style="98" customWidth="1"/>
    <col min="23" max="23" width="28.7109375" style="98" customWidth="1"/>
    <col min="24" max="25" width="9.140625" style="98"/>
    <col min="26" max="26" width="15.28515625" style="98" customWidth="1"/>
    <col min="27" max="27" width="24.5703125" style="98" customWidth="1"/>
    <col min="28" max="28" width="9.140625" style="98"/>
    <col min="29" max="29" width="6.42578125" style="98" customWidth="1"/>
    <col min="30" max="30" width="12.28515625" style="98" customWidth="1"/>
    <col min="31" max="31" width="28" style="98" customWidth="1"/>
    <col min="32" max="32" width="9.140625" style="98"/>
    <col min="33" max="33" width="12.140625" style="98" customWidth="1"/>
    <col min="34" max="34" width="14.140625" style="98" customWidth="1"/>
    <col min="35" max="35" width="25.140625" style="98" customWidth="1"/>
    <col min="36" max="36" width="9.140625" style="98"/>
    <col min="37" max="37" width="12.140625" style="98" customWidth="1"/>
    <col min="38" max="38" width="15" style="98" customWidth="1"/>
    <col min="39" max="39" width="27.85546875" style="98" customWidth="1"/>
    <col min="40" max="42" width="9.140625" style="98"/>
    <col min="43" max="43" width="13" style="98" customWidth="1"/>
    <col min="44" max="44" width="26" style="98" customWidth="1"/>
    <col min="45" max="46" width="9.140625" style="98"/>
    <col min="47" max="47" width="13.42578125" style="98" customWidth="1"/>
    <col min="48" max="48" width="24.140625" style="98" customWidth="1"/>
    <col min="49" max="16384" width="9.140625" style="98"/>
  </cols>
  <sheetData>
    <row r="8" spans="1:20" ht="15" x14ac:dyDescent="0.2">
      <c r="A8" s="130" t="s">
        <v>1</v>
      </c>
      <c r="B8" s="130" t="s">
        <v>3</v>
      </c>
      <c r="C8" s="130" t="s">
        <v>4</v>
      </c>
      <c r="D8" s="130" t="s">
        <v>5</v>
      </c>
    </row>
    <row r="9" spans="1:20" ht="15" x14ac:dyDescent="0.2">
      <c r="A9" s="131" t="s">
        <v>49</v>
      </c>
      <c r="B9" s="130"/>
      <c r="C9" s="130"/>
      <c r="D9" s="130"/>
    </row>
    <row r="10" spans="1:20" ht="15" x14ac:dyDescent="0.2">
      <c r="A10" s="132" t="s">
        <v>50</v>
      </c>
      <c r="B10" s="133">
        <v>45870</v>
      </c>
      <c r="C10" s="133">
        <f>B10+D10</f>
        <v>45872</v>
      </c>
      <c r="D10" s="127">
        <v>2</v>
      </c>
    </row>
    <row r="11" spans="1:20" ht="15" x14ac:dyDescent="0.2">
      <c r="A11" s="132" t="s">
        <v>51</v>
      </c>
      <c r="B11" s="133">
        <f t="shared" ref="B11:B13" si="0">C10+D10</f>
        <v>45874</v>
      </c>
      <c r="C11" s="133">
        <f t="shared" ref="C11:C13" si="1">B11+D11</f>
        <v>45875</v>
      </c>
      <c r="D11" s="127">
        <v>1</v>
      </c>
    </row>
    <row r="12" spans="1:20" ht="15" x14ac:dyDescent="0.2">
      <c r="A12" s="132" t="s">
        <v>52</v>
      </c>
      <c r="B12" s="133">
        <f t="shared" si="0"/>
        <v>45876</v>
      </c>
      <c r="C12" s="133">
        <f t="shared" si="1"/>
        <v>45879</v>
      </c>
      <c r="D12" s="127">
        <v>3</v>
      </c>
    </row>
    <row r="13" spans="1:20" ht="15" x14ac:dyDescent="0.2">
      <c r="A13" s="132" t="s">
        <v>53</v>
      </c>
      <c r="B13" s="133">
        <f t="shared" si="0"/>
        <v>45882</v>
      </c>
      <c r="C13" s="133">
        <f t="shared" si="1"/>
        <v>45883</v>
      </c>
      <c r="D13" s="127">
        <v>1</v>
      </c>
    </row>
    <row r="14" spans="1:20" ht="15" x14ac:dyDescent="0.2">
      <c r="A14" s="132" t="s">
        <v>54</v>
      </c>
      <c r="B14" s="133">
        <f>C13+D13</f>
        <v>45884</v>
      </c>
      <c r="C14" s="133">
        <f>B14+D14</f>
        <v>45889</v>
      </c>
      <c r="D14" s="134">
        <v>5</v>
      </c>
    </row>
    <row r="15" spans="1:20" ht="15" x14ac:dyDescent="0.2">
      <c r="A15" s="131" t="s">
        <v>16</v>
      </c>
      <c r="B15" s="140"/>
      <c r="C15" s="140"/>
      <c r="D15" s="130"/>
    </row>
    <row r="16" spans="1:20" ht="15" x14ac:dyDescent="0.2">
      <c r="A16" s="132" t="s">
        <v>55</v>
      </c>
      <c r="B16" s="128">
        <f>C14</f>
        <v>45889</v>
      </c>
      <c r="C16" s="128">
        <f>B16+D16</f>
        <v>45893</v>
      </c>
      <c r="D16" s="129">
        <v>4</v>
      </c>
      <c r="H16" s="100"/>
      <c r="I16" s="101" t="s">
        <v>56</v>
      </c>
      <c r="J16" s="102"/>
      <c r="K16" s="103"/>
      <c r="L16" s="104" t="s">
        <v>57</v>
      </c>
      <c r="M16" s="102"/>
      <c r="N16" s="103"/>
      <c r="O16" s="100"/>
      <c r="P16" s="100"/>
      <c r="Q16" s="100"/>
      <c r="R16" s="100"/>
      <c r="S16" s="100"/>
      <c r="T16" s="100"/>
    </row>
    <row r="17" spans="1:48" ht="15" x14ac:dyDescent="0.2">
      <c r="A17" s="132" t="s">
        <v>58</v>
      </c>
      <c r="B17" s="128">
        <f>C16</f>
        <v>45893</v>
      </c>
      <c r="C17" s="128">
        <f>B17+D17</f>
        <v>45900</v>
      </c>
      <c r="D17" s="129">
        <v>7</v>
      </c>
      <c r="H17" s="100"/>
      <c r="I17" s="105" t="s">
        <v>59</v>
      </c>
      <c r="J17" s="100"/>
      <c r="K17" s="106"/>
      <c r="L17" s="107" t="s">
        <v>60</v>
      </c>
      <c r="M17" s="100"/>
      <c r="N17" s="106"/>
      <c r="O17" s="100"/>
      <c r="P17" s="100"/>
      <c r="Q17" s="100"/>
      <c r="R17" s="100"/>
      <c r="S17" s="100"/>
      <c r="T17" s="100"/>
    </row>
    <row r="18" spans="1:48" ht="15" x14ac:dyDescent="0.2">
      <c r="A18" s="132" t="s">
        <v>61</v>
      </c>
      <c r="B18" s="128">
        <f>C17</f>
        <v>45900</v>
      </c>
      <c r="C18" s="128">
        <f>B18+D18</f>
        <v>45911</v>
      </c>
      <c r="D18" s="129">
        <v>11</v>
      </c>
      <c r="H18" s="100"/>
      <c r="I18" s="101" t="s">
        <v>62</v>
      </c>
      <c r="J18" s="102"/>
      <c r="K18" s="103"/>
      <c r="L18" s="108">
        <v>0</v>
      </c>
      <c r="M18" s="97" t="s">
        <v>63</v>
      </c>
      <c r="N18" s="103"/>
      <c r="O18" s="100"/>
      <c r="P18" s="100"/>
      <c r="Q18" s="100"/>
      <c r="R18" s="100"/>
      <c r="S18" s="100"/>
      <c r="T18" s="100"/>
    </row>
    <row r="19" spans="1:48" ht="15" x14ac:dyDescent="0.2">
      <c r="A19" s="131" t="s">
        <v>64</v>
      </c>
      <c r="B19" s="140"/>
      <c r="C19" s="140"/>
      <c r="D19" s="130"/>
      <c r="H19"/>
      <c r="I19" s="109" t="s">
        <v>65</v>
      </c>
      <c r="J19" s="110"/>
      <c r="K19" s="111"/>
      <c r="L19" s="110"/>
      <c r="M19" s="110"/>
      <c r="N19" s="111"/>
      <c r="O19" s="100"/>
      <c r="P19" s="100"/>
      <c r="Q19" s="100"/>
      <c r="R19" s="100"/>
      <c r="S19" s="100"/>
      <c r="T19" s="100"/>
    </row>
    <row r="20" spans="1:48" ht="15" x14ac:dyDescent="0.2">
      <c r="A20" s="132" t="s">
        <v>66</v>
      </c>
      <c r="B20" s="128">
        <f>C18</f>
        <v>45911</v>
      </c>
      <c r="C20" s="128">
        <f>B20+D20</f>
        <v>45918</v>
      </c>
      <c r="D20" s="129">
        <v>7</v>
      </c>
      <c r="H20"/>
      <c r="I20" s="107"/>
      <c r="J20" s="100"/>
      <c r="K20" s="100"/>
      <c r="L20" s="100"/>
      <c r="M20" s="100"/>
      <c r="N20" s="100"/>
      <c r="O20" s="100"/>
      <c r="P20" s="100"/>
      <c r="Q20" s="100"/>
      <c r="R20" s="100"/>
      <c r="S20" s="100"/>
      <c r="T20" s="100"/>
    </row>
    <row r="21" spans="1:48" ht="15" x14ac:dyDescent="0.2">
      <c r="A21" s="132" t="s">
        <v>67</v>
      </c>
      <c r="B21" s="128">
        <f>C20</f>
        <v>45918</v>
      </c>
      <c r="C21" s="128">
        <f t="shared" ref="C21:C24" si="2">B21+D21</f>
        <v>45924</v>
      </c>
      <c r="D21" s="129">
        <v>6</v>
      </c>
      <c r="H21" s="174" t="s">
        <v>68</v>
      </c>
      <c r="I21" s="175"/>
      <c r="J21" s="138" t="s">
        <v>69</v>
      </c>
      <c r="K21" s="138" t="s">
        <v>69</v>
      </c>
      <c r="L21" s="138" t="s">
        <v>69</v>
      </c>
      <c r="M21" s="138" t="s">
        <v>69</v>
      </c>
      <c r="N21" s="138" t="s">
        <v>69</v>
      </c>
      <c r="O21" s="138" t="s">
        <v>69</v>
      </c>
      <c r="P21" s="138" t="s">
        <v>69</v>
      </c>
      <c r="Q21" s="138" t="s">
        <v>69</v>
      </c>
      <c r="R21" s="138" t="s">
        <v>69</v>
      </c>
      <c r="S21" s="138" t="s">
        <v>69</v>
      </c>
      <c r="T21" s="138" t="s">
        <v>69</v>
      </c>
      <c r="U21" s="139" t="s">
        <v>69</v>
      </c>
    </row>
    <row r="22" spans="1:48" ht="15" x14ac:dyDescent="0.2">
      <c r="A22" s="132" t="s">
        <v>70</v>
      </c>
      <c r="B22" s="128">
        <f t="shared" ref="B22:B24" si="3">C21</f>
        <v>45924</v>
      </c>
      <c r="C22" s="128">
        <f t="shared" si="2"/>
        <v>45927</v>
      </c>
      <c r="D22" s="129">
        <v>3</v>
      </c>
      <c r="H22" s="112" t="s">
        <v>71</v>
      </c>
      <c r="I22" s="113" t="s">
        <v>72</v>
      </c>
      <c r="J22" s="138" t="s">
        <v>69</v>
      </c>
      <c r="K22" s="138" t="s">
        <v>69</v>
      </c>
      <c r="L22" s="138" t="s">
        <v>69</v>
      </c>
      <c r="M22" s="138" t="s">
        <v>69</v>
      </c>
      <c r="N22" s="138" t="s">
        <v>69</v>
      </c>
      <c r="O22" s="138" t="s">
        <v>69</v>
      </c>
      <c r="P22" s="138" t="s">
        <v>69</v>
      </c>
      <c r="Q22" s="138" t="s">
        <v>69</v>
      </c>
      <c r="R22" s="138" t="s">
        <v>69</v>
      </c>
      <c r="S22" s="138" t="s">
        <v>69</v>
      </c>
      <c r="T22" s="138" t="s">
        <v>69</v>
      </c>
      <c r="U22" s="139" t="s">
        <v>69</v>
      </c>
      <c r="V22" s="173" t="s">
        <v>67</v>
      </c>
      <c r="W22" s="170"/>
    </row>
    <row r="23" spans="1:48" ht="15" x14ac:dyDescent="0.2">
      <c r="A23" s="132" t="s">
        <v>73</v>
      </c>
      <c r="B23" s="128">
        <f t="shared" si="3"/>
        <v>45927</v>
      </c>
      <c r="C23" s="128">
        <f t="shared" si="2"/>
        <v>45933</v>
      </c>
      <c r="D23" s="129">
        <v>6</v>
      </c>
      <c r="H23" s="114" t="s">
        <v>74</v>
      </c>
      <c r="I23" s="115" t="s">
        <v>75</v>
      </c>
      <c r="J23" s="138" t="s">
        <v>69</v>
      </c>
      <c r="K23" s="173" t="s">
        <v>51</v>
      </c>
      <c r="L23" s="170"/>
      <c r="M23" s="138" t="s">
        <v>69</v>
      </c>
      <c r="N23" s="138" t="s">
        <v>69</v>
      </c>
      <c r="O23" s="173" t="s">
        <v>55</v>
      </c>
      <c r="P23" s="170"/>
      <c r="Q23" s="138" t="s">
        <v>69</v>
      </c>
      <c r="R23" s="138" t="s">
        <v>69</v>
      </c>
      <c r="S23" s="138" t="s">
        <v>69</v>
      </c>
      <c r="T23" s="138" t="s">
        <v>69</v>
      </c>
      <c r="U23" s="139" t="s">
        <v>69</v>
      </c>
      <c r="V23" s="171">
        <v>6</v>
      </c>
      <c r="W23" s="172"/>
    </row>
    <row r="24" spans="1:48" ht="15" x14ac:dyDescent="0.2">
      <c r="A24" s="132" t="s">
        <v>76</v>
      </c>
      <c r="B24" s="128">
        <f t="shared" si="3"/>
        <v>45933</v>
      </c>
      <c r="C24" s="128">
        <f t="shared" si="2"/>
        <v>45938</v>
      </c>
      <c r="D24" s="129">
        <v>5</v>
      </c>
      <c r="H24" s="114" t="s">
        <v>77</v>
      </c>
      <c r="I24" s="115" t="s">
        <v>78</v>
      </c>
      <c r="J24" s="138" t="s">
        <v>69</v>
      </c>
      <c r="K24" s="171">
        <v>1</v>
      </c>
      <c r="L24" s="172"/>
      <c r="M24" s="138" t="s">
        <v>69</v>
      </c>
      <c r="N24" s="138" t="s">
        <v>69</v>
      </c>
      <c r="O24" s="171">
        <v>4</v>
      </c>
      <c r="P24" s="172"/>
      <c r="Q24" s="138" t="s">
        <v>69</v>
      </c>
      <c r="R24" s="138" t="s">
        <v>69</v>
      </c>
      <c r="S24" s="138" t="s">
        <v>69</v>
      </c>
      <c r="T24" s="138" t="s">
        <v>69</v>
      </c>
      <c r="U24" s="139" t="s">
        <v>69</v>
      </c>
      <c r="V24" s="151">
        <v>45918</v>
      </c>
      <c r="W24" s="126">
        <v>2</v>
      </c>
    </row>
    <row r="25" spans="1:48" ht="15" x14ac:dyDescent="0.2">
      <c r="A25" s="131" t="s">
        <v>79</v>
      </c>
      <c r="B25" s="140"/>
      <c r="C25" s="140"/>
      <c r="D25" s="130"/>
      <c r="H25" s="116" t="s">
        <v>80</v>
      </c>
      <c r="I25" s="117" t="s">
        <v>81</v>
      </c>
      <c r="J25" s="138" t="s">
        <v>69</v>
      </c>
      <c r="K25" s="143">
        <v>45874</v>
      </c>
      <c r="L25" s="126">
        <v>2</v>
      </c>
      <c r="M25" s="138" t="s">
        <v>69</v>
      </c>
      <c r="N25" s="138" t="s">
        <v>69</v>
      </c>
      <c r="O25" s="151">
        <v>45889</v>
      </c>
      <c r="P25" s="126">
        <v>2</v>
      </c>
      <c r="Q25" s="138" t="s">
        <v>69</v>
      </c>
      <c r="R25" s="138" t="s">
        <v>69</v>
      </c>
      <c r="S25" s="138" t="s">
        <v>69</v>
      </c>
      <c r="T25" s="138" t="s">
        <v>69</v>
      </c>
      <c r="U25" s="139" t="s">
        <v>69</v>
      </c>
      <c r="V25" s="125">
        <v>45924</v>
      </c>
      <c r="W25" s="126">
        <v>0</v>
      </c>
    </row>
    <row r="26" spans="1:48" ht="15" x14ac:dyDescent="0.2">
      <c r="A26" s="132" t="s">
        <v>82</v>
      </c>
      <c r="B26" s="128">
        <f>C24</f>
        <v>45938</v>
      </c>
      <c r="C26" s="128">
        <f>B26+D26</f>
        <v>45943</v>
      </c>
      <c r="D26" s="129">
        <v>5</v>
      </c>
      <c r="H26" s="100"/>
      <c r="I26" s="100"/>
      <c r="J26" s="138" t="s">
        <v>69</v>
      </c>
      <c r="K26" s="142">
        <v>45875</v>
      </c>
      <c r="L26" s="126">
        <v>0</v>
      </c>
      <c r="M26" s="138" t="s">
        <v>69</v>
      </c>
      <c r="N26" s="138" t="s">
        <v>69</v>
      </c>
      <c r="O26" s="125">
        <v>45893</v>
      </c>
      <c r="P26" s="126">
        <v>0</v>
      </c>
      <c r="Q26" s="138" t="s">
        <v>69</v>
      </c>
      <c r="R26" s="138" t="s">
        <v>69</v>
      </c>
      <c r="S26" s="138" t="s">
        <v>69</v>
      </c>
      <c r="T26" s="138" t="s">
        <v>69</v>
      </c>
      <c r="U26" s="139" t="s">
        <v>69</v>
      </c>
      <c r="V26" s="137">
        <v>6</v>
      </c>
      <c r="W26" s="126">
        <v>-2</v>
      </c>
    </row>
    <row r="27" spans="1:48" ht="15" x14ac:dyDescent="0.2">
      <c r="A27" s="132" t="s">
        <v>83</v>
      </c>
      <c r="B27" s="128">
        <f>C26</f>
        <v>45943</v>
      </c>
      <c r="C27" s="128">
        <f>B27+D27</f>
        <v>45946</v>
      </c>
      <c r="D27" s="129">
        <v>3</v>
      </c>
      <c r="H27" s="100"/>
      <c r="I27" s="100"/>
      <c r="J27" s="138" t="s">
        <v>69</v>
      </c>
      <c r="K27" s="137">
        <v>1</v>
      </c>
      <c r="L27" s="126">
        <v>-2</v>
      </c>
      <c r="M27" s="138" t="s">
        <v>69</v>
      </c>
      <c r="N27" s="138" t="s">
        <v>69</v>
      </c>
      <c r="O27" s="137">
        <v>4</v>
      </c>
      <c r="P27" s="126">
        <v>-2</v>
      </c>
      <c r="Q27" s="138" t="s">
        <v>69</v>
      </c>
      <c r="R27" s="138" t="s">
        <v>69</v>
      </c>
      <c r="S27" s="138" t="s">
        <v>69</v>
      </c>
      <c r="T27" s="138" t="s">
        <v>69</v>
      </c>
      <c r="U27" s="139" t="s">
        <v>69</v>
      </c>
    </row>
    <row r="28" spans="1:48" ht="15" x14ac:dyDescent="0.2">
      <c r="A28" s="131" t="s">
        <v>84</v>
      </c>
      <c r="B28" s="140"/>
      <c r="C28" s="140"/>
      <c r="D28" s="130"/>
      <c r="H28" s="173" t="s">
        <v>9</v>
      </c>
      <c r="I28" s="170"/>
      <c r="J28" s="138" t="s">
        <v>69</v>
      </c>
      <c r="K28" s="138" t="s">
        <v>69</v>
      </c>
      <c r="L28" s="138" t="s">
        <v>69</v>
      </c>
      <c r="M28" s="138" t="s">
        <v>69</v>
      </c>
      <c r="N28" s="138" t="s">
        <v>69</v>
      </c>
      <c r="O28" s="138" t="s">
        <v>69</v>
      </c>
      <c r="P28" s="138" t="s">
        <v>69</v>
      </c>
      <c r="Q28" s="138" t="s">
        <v>69</v>
      </c>
      <c r="R28" s="138" t="s">
        <v>69</v>
      </c>
      <c r="S28" s="138" t="s">
        <v>69</v>
      </c>
      <c r="T28" s="138" t="s">
        <v>69</v>
      </c>
      <c r="U28" s="139" t="s">
        <v>69</v>
      </c>
      <c r="AU28" s="169" t="s">
        <v>85</v>
      </c>
      <c r="AV28" s="170"/>
    </row>
    <row r="29" spans="1:48" ht="15" x14ac:dyDescent="0.2">
      <c r="A29" s="132" t="s">
        <v>86</v>
      </c>
      <c r="B29" s="128">
        <f>C27</f>
        <v>45946</v>
      </c>
      <c r="C29" s="128">
        <f>B29+D29</f>
        <v>45950</v>
      </c>
      <c r="D29" s="129">
        <v>4</v>
      </c>
      <c r="H29" s="171">
        <v>2</v>
      </c>
      <c r="I29" s="172"/>
      <c r="J29" s="138" t="s">
        <v>69</v>
      </c>
      <c r="K29" s="173" t="s">
        <v>52</v>
      </c>
      <c r="L29" s="170"/>
      <c r="M29" s="138" t="s">
        <v>69</v>
      </c>
      <c r="N29" s="138" t="s">
        <v>69</v>
      </c>
      <c r="O29" s="173" t="s">
        <v>58</v>
      </c>
      <c r="P29" s="170"/>
      <c r="Q29" s="138" t="s">
        <v>69</v>
      </c>
      <c r="R29" s="138" t="s">
        <v>69</v>
      </c>
      <c r="S29" s="173" t="s">
        <v>66</v>
      </c>
      <c r="T29" s="170"/>
      <c r="U29" s="139" t="s">
        <v>69</v>
      </c>
      <c r="V29" s="173" t="s">
        <v>70</v>
      </c>
      <c r="W29" s="170"/>
      <c r="AU29" s="167">
        <v>4</v>
      </c>
      <c r="AV29" s="168"/>
    </row>
    <row r="30" spans="1:48" ht="15" x14ac:dyDescent="0.2">
      <c r="A30" s="132" t="s">
        <v>87</v>
      </c>
      <c r="B30" s="128">
        <f>C29</f>
        <v>45950</v>
      </c>
      <c r="C30" s="128">
        <f t="shared" ref="C30:C31" si="4">B30+D30</f>
        <v>45954</v>
      </c>
      <c r="D30" s="129">
        <v>4</v>
      </c>
      <c r="H30" s="143">
        <v>45870</v>
      </c>
      <c r="I30" s="126">
        <v>2</v>
      </c>
      <c r="J30" s="138" t="s">
        <v>69</v>
      </c>
      <c r="K30" s="171">
        <v>3</v>
      </c>
      <c r="L30" s="172"/>
      <c r="M30" s="138" t="s">
        <v>69</v>
      </c>
      <c r="N30" s="138" t="s">
        <v>69</v>
      </c>
      <c r="O30" s="171">
        <v>7</v>
      </c>
      <c r="P30" s="172"/>
      <c r="Q30" s="138" t="s">
        <v>69</v>
      </c>
      <c r="R30" s="138" t="s">
        <v>69</v>
      </c>
      <c r="S30" s="171">
        <v>7</v>
      </c>
      <c r="T30" s="172"/>
      <c r="U30" s="139" t="s">
        <v>69</v>
      </c>
      <c r="V30" s="171">
        <v>3</v>
      </c>
      <c r="W30" s="172"/>
      <c r="Z30" s="173" t="s">
        <v>82</v>
      </c>
      <c r="AA30" s="170"/>
      <c r="AU30" s="151">
        <v>45964</v>
      </c>
      <c r="AV30" s="147">
        <v>2</v>
      </c>
    </row>
    <row r="31" spans="1:48" ht="15" x14ac:dyDescent="0.2">
      <c r="A31" s="132" t="s">
        <v>88</v>
      </c>
      <c r="B31" s="128">
        <f>C30</f>
        <v>45954</v>
      </c>
      <c r="C31" s="128">
        <f t="shared" si="4"/>
        <v>45959</v>
      </c>
      <c r="D31" s="129">
        <v>5</v>
      </c>
      <c r="H31" s="143">
        <v>45872</v>
      </c>
      <c r="I31" s="126">
        <v>0</v>
      </c>
      <c r="J31" s="138" t="s">
        <v>69</v>
      </c>
      <c r="K31" s="143">
        <v>45876</v>
      </c>
      <c r="L31" s="126">
        <v>2</v>
      </c>
      <c r="M31" s="138" t="s">
        <v>69</v>
      </c>
      <c r="N31" s="138" t="s">
        <v>69</v>
      </c>
      <c r="O31" s="125">
        <v>45893</v>
      </c>
      <c r="P31" s="126">
        <v>2</v>
      </c>
      <c r="Q31" s="138" t="s">
        <v>69</v>
      </c>
      <c r="R31" s="138" t="s">
        <v>69</v>
      </c>
      <c r="S31" s="151">
        <v>45911</v>
      </c>
      <c r="T31" s="126">
        <v>2</v>
      </c>
      <c r="U31" s="139" t="s">
        <v>69</v>
      </c>
      <c r="V31" s="151">
        <v>45924</v>
      </c>
      <c r="W31" s="126">
        <v>2</v>
      </c>
      <c r="Z31" s="171">
        <v>5</v>
      </c>
      <c r="AA31" s="172"/>
      <c r="AD31" s="173" t="s">
        <v>83</v>
      </c>
      <c r="AE31" s="170"/>
      <c r="AH31" s="132" t="s">
        <v>86</v>
      </c>
      <c r="AI31" s="158"/>
      <c r="AL31" s="169" t="s">
        <v>87</v>
      </c>
      <c r="AM31" s="170"/>
      <c r="AQ31" s="169" t="s">
        <v>89</v>
      </c>
      <c r="AR31" s="170"/>
      <c r="AU31" s="157">
        <v>45968</v>
      </c>
      <c r="AV31" s="147">
        <v>0</v>
      </c>
    </row>
    <row r="32" spans="1:48" ht="15" x14ac:dyDescent="0.2">
      <c r="A32" s="135" t="s">
        <v>90</v>
      </c>
      <c r="B32" s="141"/>
      <c r="C32" s="141"/>
      <c r="D32" s="136"/>
      <c r="H32" s="149">
        <v>2</v>
      </c>
      <c r="I32" s="126">
        <v>-2</v>
      </c>
      <c r="J32" s="138" t="s">
        <v>69</v>
      </c>
      <c r="K32" s="125">
        <v>45879</v>
      </c>
      <c r="L32" s="126">
        <v>0</v>
      </c>
      <c r="M32" s="138" t="s">
        <v>69</v>
      </c>
      <c r="N32" s="138" t="s">
        <v>69</v>
      </c>
      <c r="O32" s="125">
        <v>45900</v>
      </c>
      <c r="P32" s="126">
        <v>0</v>
      </c>
      <c r="Q32" s="138" t="s">
        <v>69</v>
      </c>
      <c r="R32" s="138" t="s">
        <v>69</v>
      </c>
      <c r="S32" s="125">
        <v>45918</v>
      </c>
      <c r="T32" s="126">
        <v>0</v>
      </c>
      <c r="U32" s="139" t="s">
        <v>69</v>
      </c>
      <c r="V32" s="125">
        <v>45927</v>
      </c>
      <c r="W32" s="126">
        <v>0</v>
      </c>
      <c r="Z32" s="151">
        <v>45938</v>
      </c>
      <c r="AA32" s="126">
        <v>2</v>
      </c>
      <c r="AD32" s="171">
        <v>3</v>
      </c>
      <c r="AE32" s="172"/>
      <c r="AH32" s="164">
        <v>4</v>
      </c>
      <c r="AI32" s="165"/>
      <c r="AL32" s="167">
        <v>4</v>
      </c>
      <c r="AM32" s="168"/>
      <c r="AQ32" s="167">
        <v>5</v>
      </c>
      <c r="AR32" s="168"/>
      <c r="AU32" s="137">
        <v>4</v>
      </c>
      <c r="AV32" s="147">
        <v>-2</v>
      </c>
    </row>
    <row r="33" spans="1:48" ht="15" x14ac:dyDescent="0.2">
      <c r="A33" s="132" t="s">
        <v>89</v>
      </c>
      <c r="B33" s="128">
        <f>C31</f>
        <v>45959</v>
      </c>
      <c r="C33" s="128">
        <f>B33+D33</f>
        <v>45964</v>
      </c>
      <c r="D33" s="129">
        <v>5</v>
      </c>
      <c r="H33" s="100"/>
      <c r="I33" s="100"/>
      <c r="J33" s="138" t="s">
        <v>69</v>
      </c>
      <c r="K33" s="137">
        <v>3</v>
      </c>
      <c r="L33" s="126">
        <v>-2</v>
      </c>
      <c r="M33" s="138" t="s">
        <v>69</v>
      </c>
      <c r="N33" s="138" t="s">
        <v>69</v>
      </c>
      <c r="O33" s="137">
        <v>7</v>
      </c>
      <c r="P33" s="126">
        <v>-2</v>
      </c>
      <c r="Q33" s="138" t="s">
        <v>69</v>
      </c>
      <c r="R33" s="138" t="s">
        <v>69</v>
      </c>
      <c r="S33" s="137">
        <v>7</v>
      </c>
      <c r="T33" s="126">
        <v>-2</v>
      </c>
      <c r="U33" s="139" t="s">
        <v>69</v>
      </c>
      <c r="V33" s="137">
        <v>3</v>
      </c>
      <c r="W33" s="126">
        <v>-2</v>
      </c>
      <c r="Z33" s="125">
        <v>45943</v>
      </c>
      <c r="AA33" s="126">
        <v>0</v>
      </c>
      <c r="AD33" s="151">
        <v>45943</v>
      </c>
      <c r="AE33" s="126">
        <v>2</v>
      </c>
      <c r="AH33" s="151">
        <v>45946</v>
      </c>
      <c r="AI33" s="147">
        <v>2</v>
      </c>
      <c r="AL33" s="151">
        <v>45950</v>
      </c>
      <c r="AM33" s="147">
        <v>2</v>
      </c>
      <c r="AQ33" s="151">
        <v>45959</v>
      </c>
      <c r="AR33" s="147">
        <v>2</v>
      </c>
    </row>
    <row r="34" spans="1:48" ht="15" x14ac:dyDescent="0.2">
      <c r="A34" s="132" t="s">
        <v>85</v>
      </c>
      <c r="B34" s="128">
        <f>C33</f>
        <v>45964</v>
      </c>
      <c r="C34" s="128">
        <f t="shared" ref="C34:C35" si="5">B34+D34</f>
        <v>45968</v>
      </c>
      <c r="D34" s="129">
        <v>4</v>
      </c>
      <c r="H34" s="100"/>
      <c r="I34" s="100"/>
      <c r="J34" s="138" t="s">
        <v>69</v>
      </c>
      <c r="K34" s="138" t="s">
        <v>69</v>
      </c>
      <c r="L34" s="138" t="s">
        <v>69</v>
      </c>
      <c r="M34" s="138" t="s">
        <v>69</v>
      </c>
      <c r="N34" s="138" t="s">
        <v>69</v>
      </c>
      <c r="O34" s="138" t="s">
        <v>69</v>
      </c>
      <c r="P34" s="138" t="s">
        <v>69</v>
      </c>
      <c r="Q34" s="138" t="s">
        <v>69</v>
      </c>
      <c r="R34" s="138" t="s">
        <v>69</v>
      </c>
      <c r="S34" s="138" t="s">
        <v>69</v>
      </c>
      <c r="T34" s="138" t="s">
        <v>69</v>
      </c>
      <c r="U34" s="139" t="s">
        <v>69</v>
      </c>
      <c r="Z34" s="137">
        <v>5</v>
      </c>
      <c r="AA34" s="126">
        <v>-2</v>
      </c>
      <c r="AB34" s="98">
        <v>0</v>
      </c>
      <c r="AD34" s="125">
        <v>45946</v>
      </c>
      <c r="AE34" s="126">
        <v>0</v>
      </c>
      <c r="AH34" s="157">
        <v>45950</v>
      </c>
      <c r="AI34" s="147">
        <v>0</v>
      </c>
      <c r="AL34" s="157">
        <v>45954</v>
      </c>
      <c r="AM34" s="147">
        <v>0</v>
      </c>
      <c r="AQ34" s="157">
        <v>45964</v>
      </c>
      <c r="AR34" s="147">
        <v>0</v>
      </c>
    </row>
    <row r="35" spans="1:48" ht="15" x14ac:dyDescent="0.2">
      <c r="A35" s="132" t="s">
        <v>91</v>
      </c>
      <c r="B35" s="128">
        <f>C34</f>
        <v>45968</v>
      </c>
      <c r="C35" s="128">
        <f t="shared" si="5"/>
        <v>45971</v>
      </c>
      <c r="D35" s="127">
        <v>3</v>
      </c>
      <c r="I35" s="100"/>
      <c r="J35" s="138" t="s">
        <v>69</v>
      </c>
      <c r="K35" s="173" t="s">
        <v>53</v>
      </c>
      <c r="L35" s="170"/>
      <c r="M35" s="138" t="s">
        <v>69</v>
      </c>
      <c r="N35" s="138" t="s">
        <v>69</v>
      </c>
      <c r="O35" s="173" t="s">
        <v>61</v>
      </c>
      <c r="P35" s="170"/>
      <c r="Q35" s="138" t="s">
        <v>69</v>
      </c>
      <c r="R35" s="138" t="s">
        <v>69</v>
      </c>
      <c r="S35" s="138" t="s">
        <v>69</v>
      </c>
      <c r="T35" s="138" t="s">
        <v>69</v>
      </c>
      <c r="U35" s="139" t="s">
        <v>69</v>
      </c>
      <c r="Z35" s="156"/>
      <c r="AD35" s="137">
        <v>3</v>
      </c>
      <c r="AE35" s="126">
        <v>-2</v>
      </c>
      <c r="AH35" s="137">
        <v>4</v>
      </c>
      <c r="AI35" s="147">
        <v>-2</v>
      </c>
      <c r="AL35" s="137">
        <v>4</v>
      </c>
      <c r="AM35" s="147">
        <v>-2</v>
      </c>
      <c r="AQ35" s="137">
        <v>5</v>
      </c>
      <c r="AR35" s="147">
        <v>-2</v>
      </c>
    </row>
    <row r="36" spans="1:48" ht="15" x14ac:dyDescent="0.2">
      <c r="A36" s="118"/>
      <c r="B36" s="119"/>
      <c r="C36" s="119"/>
      <c r="D36" s="120"/>
      <c r="H36" s="100"/>
      <c r="I36" s="100"/>
      <c r="J36" s="138" t="s">
        <v>69</v>
      </c>
      <c r="K36" s="171">
        <v>1</v>
      </c>
      <c r="L36" s="172"/>
      <c r="M36" s="138" t="s">
        <v>69</v>
      </c>
      <c r="N36" s="138" t="s">
        <v>69</v>
      </c>
      <c r="O36" s="171">
        <v>11</v>
      </c>
      <c r="P36" s="172"/>
      <c r="Q36" s="138" t="s">
        <v>69</v>
      </c>
      <c r="R36" s="138" t="s">
        <v>69</v>
      </c>
      <c r="S36" s="138" t="s">
        <v>69</v>
      </c>
      <c r="T36" s="138" t="s">
        <v>69</v>
      </c>
      <c r="U36" s="139" t="s">
        <v>69</v>
      </c>
      <c r="AU36" s="169" t="s">
        <v>91</v>
      </c>
      <c r="AV36" s="170"/>
    </row>
    <row r="37" spans="1:48" ht="15" x14ac:dyDescent="0.2">
      <c r="A37" s="118"/>
      <c r="B37" s="119"/>
      <c r="C37" s="119"/>
      <c r="D37" s="120"/>
      <c r="H37" s="100"/>
      <c r="I37" s="100"/>
      <c r="J37" s="138" t="s">
        <v>69</v>
      </c>
      <c r="K37" s="143">
        <v>45882</v>
      </c>
      <c r="L37" s="126">
        <v>2</v>
      </c>
      <c r="M37" s="138" t="s">
        <v>69</v>
      </c>
      <c r="N37" s="138" t="s">
        <v>69</v>
      </c>
      <c r="O37" s="125">
        <v>45900</v>
      </c>
      <c r="P37" s="126">
        <v>2</v>
      </c>
      <c r="Q37" s="138" t="s">
        <v>69</v>
      </c>
      <c r="R37" s="138" t="s">
        <v>69</v>
      </c>
      <c r="S37" s="138" t="s">
        <v>69</v>
      </c>
      <c r="T37" s="138" t="s">
        <v>69</v>
      </c>
      <c r="U37" s="139" t="s">
        <v>69</v>
      </c>
      <c r="V37" s="173" t="s">
        <v>73</v>
      </c>
      <c r="W37" s="170"/>
      <c r="AU37" s="167">
        <v>3</v>
      </c>
      <c r="AV37" s="168"/>
    </row>
    <row r="38" spans="1:48" ht="15" x14ac:dyDescent="0.2">
      <c r="A38" s="118"/>
      <c r="B38" s="119"/>
      <c r="C38" s="119"/>
      <c r="D38" s="120"/>
      <c r="H38" s="100"/>
      <c r="I38" s="100"/>
      <c r="J38" s="138" t="s">
        <v>69</v>
      </c>
      <c r="K38" s="125">
        <v>45883</v>
      </c>
      <c r="L38" s="126">
        <v>0</v>
      </c>
      <c r="M38" s="138" t="s">
        <v>69</v>
      </c>
      <c r="N38" s="138" t="s">
        <v>69</v>
      </c>
      <c r="O38" s="125">
        <v>45911</v>
      </c>
      <c r="P38" s="126">
        <v>0</v>
      </c>
      <c r="Q38" s="138" t="s">
        <v>69</v>
      </c>
      <c r="R38" s="138" t="s">
        <v>69</v>
      </c>
      <c r="S38" s="138" t="s">
        <v>69</v>
      </c>
      <c r="T38" s="138" t="s">
        <v>69</v>
      </c>
      <c r="U38" s="139" t="s">
        <v>69</v>
      </c>
      <c r="V38" s="171">
        <v>6</v>
      </c>
      <c r="W38" s="172"/>
      <c r="AL38" s="159" t="s">
        <v>88</v>
      </c>
      <c r="AM38" s="160"/>
      <c r="AU38" s="151">
        <v>45968</v>
      </c>
      <c r="AV38" s="147">
        <v>2</v>
      </c>
    </row>
    <row r="39" spans="1:48" ht="15" x14ac:dyDescent="0.2">
      <c r="A39" s="118"/>
      <c r="B39" s="119"/>
      <c r="C39" s="119"/>
      <c r="D39" s="120"/>
      <c r="J39" s="138" t="s">
        <v>69</v>
      </c>
      <c r="K39" s="137">
        <v>1</v>
      </c>
      <c r="L39" s="126">
        <v>-2</v>
      </c>
      <c r="M39" s="138" t="s">
        <v>69</v>
      </c>
      <c r="N39" s="138" t="s">
        <v>69</v>
      </c>
      <c r="O39" s="137">
        <v>11</v>
      </c>
      <c r="P39" s="126">
        <v>-2</v>
      </c>
      <c r="Q39" s="138" t="s">
        <v>69</v>
      </c>
      <c r="R39" s="138" t="s">
        <v>69</v>
      </c>
      <c r="S39" s="138" t="s">
        <v>69</v>
      </c>
      <c r="T39" s="138" t="s">
        <v>69</v>
      </c>
      <c r="U39" s="139" t="s">
        <v>69</v>
      </c>
      <c r="V39" s="151">
        <v>45927</v>
      </c>
      <c r="W39" s="126">
        <v>2</v>
      </c>
      <c r="AL39" s="162"/>
      <c r="AM39" s="163">
        <v>5</v>
      </c>
      <c r="AU39" s="157">
        <v>45971</v>
      </c>
      <c r="AV39" s="147">
        <v>0</v>
      </c>
    </row>
    <row r="40" spans="1:48" ht="15" x14ac:dyDescent="0.2">
      <c r="A40" s="118"/>
      <c r="B40" s="119"/>
      <c r="C40" s="119"/>
      <c r="D40" s="120"/>
      <c r="J40" s="139" t="s">
        <v>69</v>
      </c>
      <c r="K40" s="139" t="s">
        <v>69</v>
      </c>
      <c r="L40" s="139" t="s">
        <v>69</v>
      </c>
      <c r="M40" s="139" t="s">
        <v>69</v>
      </c>
      <c r="N40" s="139" t="s">
        <v>69</v>
      </c>
      <c r="O40" s="139" t="s">
        <v>69</v>
      </c>
      <c r="P40" s="139" t="s">
        <v>69</v>
      </c>
      <c r="Q40" s="139" t="s">
        <v>69</v>
      </c>
      <c r="R40" s="139" t="s">
        <v>69</v>
      </c>
      <c r="S40" s="139" t="s">
        <v>69</v>
      </c>
      <c r="T40" s="139" t="s">
        <v>69</v>
      </c>
      <c r="U40" s="139" t="s">
        <v>69</v>
      </c>
      <c r="V40" s="125">
        <v>45933</v>
      </c>
      <c r="W40" s="126">
        <v>0</v>
      </c>
      <c r="AL40" s="161">
        <v>45954</v>
      </c>
      <c r="AM40" s="147">
        <v>2</v>
      </c>
      <c r="AU40" s="137">
        <v>3</v>
      </c>
      <c r="AV40" s="147">
        <v>-2</v>
      </c>
    </row>
    <row r="41" spans="1:48" ht="15" x14ac:dyDescent="0.2">
      <c r="A41" s="118"/>
      <c r="B41" s="119"/>
      <c r="C41" s="119"/>
      <c r="D41" s="120"/>
      <c r="K41" s="173" t="s">
        <v>54</v>
      </c>
      <c r="L41" s="170"/>
      <c r="V41" s="137">
        <v>6</v>
      </c>
      <c r="W41" s="126">
        <v>-2</v>
      </c>
      <c r="AL41" s="157">
        <v>45959</v>
      </c>
      <c r="AM41" s="147">
        <v>0</v>
      </c>
    </row>
    <row r="42" spans="1:48" ht="15.75" x14ac:dyDescent="0.2">
      <c r="A42" s="121"/>
      <c r="B42" s="122"/>
      <c r="C42" s="122"/>
      <c r="D42" s="122"/>
      <c r="K42" s="171">
        <v>5</v>
      </c>
      <c r="L42" s="172"/>
      <c r="AL42" s="137">
        <v>5</v>
      </c>
      <c r="AM42" s="147">
        <v>-2</v>
      </c>
    </row>
    <row r="43" spans="1:48" ht="15" x14ac:dyDescent="0.2">
      <c r="A43" s="118"/>
      <c r="B43" s="119"/>
      <c r="C43" s="119"/>
      <c r="D43" s="120"/>
      <c r="K43" s="125">
        <v>45884</v>
      </c>
      <c r="L43" s="126">
        <v>2</v>
      </c>
    </row>
    <row r="44" spans="1:48" ht="15" x14ac:dyDescent="0.2">
      <c r="A44" s="118"/>
      <c r="B44" s="119"/>
      <c r="C44" s="119"/>
      <c r="D44" s="120"/>
      <c r="K44" s="125">
        <v>45889</v>
      </c>
      <c r="L44" s="126">
        <v>0</v>
      </c>
    </row>
    <row r="45" spans="1:48" ht="15" x14ac:dyDescent="0.2">
      <c r="A45" s="118"/>
      <c r="B45" s="119"/>
      <c r="C45" s="119"/>
      <c r="D45" s="120"/>
      <c r="K45" s="137">
        <v>5</v>
      </c>
      <c r="L45" s="126">
        <v>-2</v>
      </c>
      <c r="V45" s="173" t="s">
        <v>76</v>
      </c>
      <c r="W45" s="170"/>
    </row>
    <row r="46" spans="1:48" ht="15" x14ac:dyDescent="0.2">
      <c r="A46" s="118"/>
      <c r="B46" s="119"/>
      <c r="C46" s="119"/>
      <c r="D46" s="120"/>
      <c r="V46" s="171">
        <v>5</v>
      </c>
      <c r="W46" s="172"/>
    </row>
    <row r="47" spans="1:48" ht="15.75" x14ac:dyDescent="0.2">
      <c r="A47" s="121"/>
      <c r="B47" s="122"/>
      <c r="C47" s="122"/>
      <c r="D47" s="122"/>
      <c r="V47" s="151">
        <v>45933</v>
      </c>
      <c r="W47" s="126">
        <v>2</v>
      </c>
    </row>
    <row r="48" spans="1:48" ht="15" x14ac:dyDescent="0.2">
      <c r="A48" s="123"/>
      <c r="B48" s="119"/>
      <c r="C48" s="119"/>
      <c r="D48" s="120"/>
      <c r="V48" s="125">
        <v>45938</v>
      </c>
      <c r="W48" s="126">
        <v>0</v>
      </c>
    </row>
    <row r="49" spans="1:23" ht="15" x14ac:dyDescent="0.2">
      <c r="A49" s="118"/>
      <c r="B49" s="119"/>
      <c r="C49" s="119"/>
      <c r="D49" s="120"/>
      <c r="V49" s="137">
        <v>5</v>
      </c>
      <c r="W49" s="126">
        <v>-2</v>
      </c>
    </row>
    <row r="50" spans="1:23" ht="15" x14ac:dyDescent="0.2">
      <c r="A50" s="118"/>
      <c r="B50" s="119"/>
      <c r="C50" s="119"/>
      <c r="D50" s="120"/>
    </row>
    <row r="51" spans="1:23" ht="15.75" x14ac:dyDescent="0.2">
      <c r="A51" s="124"/>
      <c r="B51" s="122"/>
      <c r="C51" s="122"/>
      <c r="D51" s="122"/>
    </row>
    <row r="52" spans="1:23" ht="15" x14ac:dyDescent="0.2">
      <c r="A52" s="118"/>
      <c r="B52" s="119"/>
      <c r="C52" s="119"/>
      <c r="D52" s="120"/>
    </row>
    <row r="53" spans="1:23" ht="15" x14ac:dyDescent="0.2">
      <c r="A53" s="118"/>
      <c r="B53" s="119"/>
      <c r="C53" s="119"/>
      <c r="D53" s="120"/>
    </row>
    <row r="54" spans="1:23" ht="15.75" x14ac:dyDescent="0.2">
      <c r="A54" s="124"/>
      <c r="B54" s="120"/>
      <c r="C54" s="120"/>
      <c r="D54" s="120"/>
    </row>
    <row r="55" spans="1:23" ht="15" x14ac:dyDescent="0.2">
      <c r="A55" s="118"/>
      <c r="B55" s="119"/>
      <c r="C55" s="119"/>
      <c r="D55" s="120"/>
    </row>
    <row r="56" spans="1:23" ht="15" x14ac:dyDescent="0.2">
      <c r="A56" s="118"/>
      <c r="B56" s="119"/>
      <c r="C56" s="119"/>
      <c r="D56" s="120"/>
    </row>
    <row r="57" spans="1:23" ht="15" x14ac:dyDescent="0.2">
      <c r="A57" s="118"/>
      <c r="B57" s="119"/>
      <c r="C57" s="119"/>
      <c r="D57" s="120"/>
    </row>
    <row r="58" spans="1:23" ht="15" x14ac:dyDescent="0.2">
      <c r="A58" s="118"/>
      <c r="B58" s="119"/>
      <c r="C58" s="119"/>
      <c r="D58" s="120"/>
    </row>
    <row r="59" spans="1:23" ht="15.75" x14ac:dyDescent="0.2">
      <c r="A59" s="124"/>
      <c r="B59" s="122"/>
      <c r="C59" s="122"/>
      <c r="D59" s="122"/>
    </row>
    <row r="60" spans="1:23" ht="15" x14ac:dyDescent="0.2">
      <c r="A60" s="118"/>
      <c r="B60" s="119"/>
      <c r="C60" s="119"/>
      <c r="D60" s="120"/>
    </row>
    <row r="61" spans="1:23" ht="15" x14ac:dyDescent="0.2">
      <c r="A61" s="118"/>
      <c r="B61" s="119"/>
      <c r="C61" s="119"/>
      <c r="D61" s="120"/>
    </row>
    <row r="62" spans="1:23" ht="15" x14ac:dyDescent="0.2">
      <c r="A62" s="118"/>
      <c r="B62" s="119"/>
      <c r="C62" s="119"/>
      <c r="D62" s="120"/>
    </row>
    <row r="63" spans="1:23" ht="15.75" x14ac:dyDescent="0.2">
      <c r="A63" s="124"/>
      <c r="B63" s="120"/>
      <c r="C63" s="120"/>
      <c r="D63" s="120"/>
    </row>
    <row r="64" spans="1:23" ht="15" x14ac:dyDescent="0.2">
      <c r="A64" s="118"/>
      <c r="B64" s="119"/>
      <c r="C64" s="119"/>
      <c r="D64" s="120"/>
    </row>
    <row r="65" spans="1:4" ht="15" x14ac:dyDescent="0.2">
      <c r="A65" s="118"/>
      <c r="B65" s="119"/>
      <c r="C65" s="119"/>
      <c r="D65" s="120"/>
    </row>
    <row r="66" spans="1:4" ht="15" x14ac:dyDescent="0.2">
      <c r="A66" s="118"/>
      <c r="B66" s="119"/>
      <c r="C66" s="119"/>
      <c r="D66" s="120"/>
    </row>
    <row r="67" spans="1:4" ht="15" x14ac:dyDescent="0.2">
      <c r="A67" s="118"/>
      <c r="B67" s="119"/>
      <c r="C67" s="119"/>
      <c r="D67" s="120"/>
    </row>
  </sheetData>
  <mergeCells count="39">
    <mergeCell ref="Z30:AA30"/>
    <mergeCell ref="Z31:AA31"/>
    <mergeCell ref="O23:P23"/>
    <mergeCell ref="K24:L24"/>
    <mergeCell ref="O24:P24"/>
    <mergeCell ref="H21:I21"/>
    <mergeCell ref="O36:P36"/>
    <mergeCell ref="H28:I28"/>
    <mergeCell ref="H29:I29"/>
    <mergeCell ref="K29:L29"/>
    <mergeCell ref="K36:L36"/>
    <mergeCell ref="K23:L23"/>
    <mergeCell ref="K41:L41"/>
    <mergeCell ref="K42:L42"/>
    <mergeCell ref="O29:P29"/>
    <mergeCell ref="S29:T29"/>
    <mergeCell ref="K35:L35"/>
    <mergeCell ref="O35:P35"/>
    <mergeCell ref="K30:L30"/>
    <mergeCell ref="O30:P30"/>
    <mergeCell ref="S30:T30"/>
    <mergeCell ref="V22:W22"/>
    <mergeCell ref="V23:W23"/>
    <mergeCell ref="V29:W29"/>
    <mergeCell ref="V30:W30"/>
    <mergeCell ref="V37:W37"/>
    <mergeCell ref="AL31:AM31"/>
    <mergeCell ref="AL32:AM32"/>
    <mergeCell ref="V38:W38"/>
    <mergeCell ref="V45:W45"/>
    <mergeCell ref="V46:W46"/>
    <mergeCell ref="AD31:AE31"/>
    <mergeCell ref="AD32:AE32"/>
    <mergeCell ref="AU37:AV37"/>
    <mergeCell ref="AQ31:AR31"/>
    <mergeCell ref="AQ32:AR32"/>
    <mergeCell ref="AU28:AV28"/>
    <mergeCell ref="AU29:AV29"/>
    <mergeCell ref="AU36:AV36"/>
  </mergeCells>
  <conditionalFormatting sqref="L18">
    <cfRule type="cellIs" dxfId="9" priority="5" operator="equal">
      <formula>0</formula>
    </cfRule>
  </conditionalFormatting>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FB562-6B75-4E3A-91C0-3D07EC99EAB9}">
  <dimension ref="D5:J39"/>
  <sheetViews>
    <sheetView showGridLines="0" workbookViewId="0">
      <selection activeCell="C27" sqref="C27"/>
    </sheetView>
  </sheetViews>
  <sheetFormatPr defaultRowHeight="12.75" x14ac:dyDescent="0.2"/>
  <cols>
    <col min="4" max="4" width="8" bestFit="1" customWidth="1"/>
    <col min="5" max="5" width="41.42578125" bestFit="1" customWidth="1"/>
    <col min="6" max="6" width="29" bestFit="1" customWidth="1"/>
    <col min="7" max="7" width="39.28515625" bestFit="1" customWidth="1"/>
    <col min="8" max="8" width="15.28515625" bestFit="1" customWidth="1"/>
    <col min="9" max="10" width="10.42578125" bestFit="1" customWidth="1"/>
  </cols>
  <sheetData>
    <row r="5" spans="4:10" ht="14.25" x14ac:dyDescent="0.2">
      <c r="D5" s="144" t="s">
        <v>92</v>
      </c>
      <c r="E5" s="145" t="s">
        <v>93</v>
      </c>
      <c r="F5" s="145" t="s">
        <v>6</v>
      </c>
      <c r="G5" s="145" t="s">
        <v>94</v>
      </c>
      <c r="H5" s="145" t="s">
        <v>95</v>
      </c>
      <c r="I5" s="145" t="s">
        <v>7</v>
      </c>
      <c r="J5" s="145" t="s">
        <v>96</v>
      </c>
    </row>
    <row r="6" spans="4:10" x14ac:dyDescent="0.2">
      <c r="D6" s="146">
        <v>1</v>
      </c>
      <c r="E6" s="147" t="s">
        <v>49</v>
      </c>
      <c r="F6" s="147" t="s">
        <v>97</v>
      </c>
      <c r="G6" s="147" t="s">
        <v>98</v>
      </c>
      <c r="H6" s="147">
        <v>15</v>
      </c>
      <c r="I6" s="148">
        <v>45665</v>
      </c>
      <c r="J6" s="147" t="s">
        <v>99</v>
      </c>
    </row>
    <row r="7" spans="4:10" x14ac:dyDescent="0.2">
      <c r="D7" s="146">
        <v>1.1000000000000001</v>
      </c>
      <c r="E7" s="147" t="s">
        <v>9</v>
      </c>
      <c r="F7" s="147" t="s">
        <v>100</v>
      </c>
      <c r="G7" s="147" t="s">
        <v>101</v>
      </c>
      <c r="H7" s="147">
        <v>2</v>
      </c>
      <c r="I7" s="147" t="s">
        <v>99</v>
      </c>
      <c r="J7" s="147" t="s">
        <v>102</v>
      </c>
    </row>
    <row r="8" spans="4:10" x14ac:dyDescent="0.2">
      <c r="D8" s="146">
        <v>1.2</v>
      </c>
      <c r="E8" s="147" t="s">
        <v>103</v>
      </c>
      <c r="F8" s="147" t="s">
        <v>886</v>
      </c>
      <c r="G8" s="147" t="s">
        <v>105</v>
      </c>
      <c r="H8" s="147">
        <v>2</v>
      </c>
      <c r="I8" s="148">
        <v>45724</v>
      </c>
      <c r="J8" s="148">
        <v>45755</v>
      </c>
    </row>
    <row r="9" spans="4:10" x14ac:dyDescent="0.2">
      <c r="D9" s="146">
        <v>1.3</v>
      </c>
      <c r="E9" s="147" t="s">
        <v>106</v>
      </c>
      <c r="F9" s="147" t="s">
        <v>107</v>
      </c>
      <c r="G9" s="147" t="s">
        <v>108</v>
      </c>
      <c r="H9" s="147">
        <v>4</v>
      </c>
      <c r="I9" s="148">
        <v>45785</v>
      </c>
      <c r="J9" s="148">
        <v>45877</v>
      </c>
    </row>
    <row r="10" spans="4:10" x14ac:dyDescent="0.2">
      <c r="D10" s="146">
        <v>1.4</v>
      </c>
      <c r="E10" s="147" t="s">
        <v>109</v>
      </c>
      <c r="F10" s="147" t="s">
        <v>100</v>
      </c>
      <c r="G10" s="147" t="s">
        <v>110</v>
      </c>
      <c r="H10" s="147">
        <v>3</v>
      </c>
      <c r="I10" s="148">
        <v>45908</v>
      </c>
      <c r="J10" s="148">
        <v>45969</v>
      </c>
    </row>
    <row r="11" spans="4:10" x14ac:dyDescent="0.2">
      <c r="D11" s="146">
        <v>1.5</v>
      </c>
      <c r="E11" s="147" t="s">
        <v>111</v>
      </c>
      <c r="F11" s="147" t="s">
        <v>112</v>
      </c>
      <c r="G11" s="147" t="s">
        <v>113</v>
      </c>
      <c r="H11" s="147">
        <v>4</v>
      </c>
      <c r="I11" s="148">
        <v>45999</v>
      </c>
      <c r="J11" s="147" t="s">
        <v>114</v>
      </c>
    </row>
    <row r="12" spans="4:10" x14ac:dyDescent="0.2">
      <c r="D12" s="146">
        <v>2</v>
      </c>
      <c r="E12" s="147" t="s">
        <v>16</v>
      </c>
      <c r="F12" s="147" t="s">
        <v>115</v>
      </c>
      <c r="G12" s="147" t="s">
        <v>116</v>
      </c>
      <c r="H12" s="147">
        <v>12</v>
      </c>
      <c r="I12" s="147" t="s">
        <v>99</v>
      </c>
      <c r="J12" s="147" t="s">
        <v>117</v>
      </c>
    </row>
    <row r="13" spans="4:10" x14ac:dyDescent="0.2">
      <c r="D13" s="146">
        <v>2.1</v>
      </c>
      <c r="E13" s="147" t="s">
        <v>118</v>
      </c>
      <c r="F13" s="147" t="s">
        <v>119</v>
      </c>
      <c r="G13" s="147" t="s">
        <v>120</v>
      </c>
      <c r="H13" s="147">
        <v>4</v>
      </c>
      <c r="I13" s="147" t="s">
        <v>99</v>
      </c>
      <c r="J13" s="147" t="s">
        <v>121</v>
      </c>
    </row>
    <row r="14" spans="4:10" x14ac:dyDescent="0.2">
      <c r="D14" s="146">
        <v>2.2000000000000002</v>
      </c>
      <c r="E14" s="147" t="s">
        <v>28</v>
      </c>
      <c r="F14" s="147" t="s">
        <v>104</v>
      </c>
      <c r="G14" s="147" t="s">
        <v>122</v>
      </c>
      <c r="H14" s="147">
        <v>3</v>
      </c>
      <c r="I14" s="147" t="s">
        <v>123</v>
      </c>
      <c r="J14" s="147" t="s">
        <v>124</v>
      </c>
    </row>
    <row r="15" spans="4:10" x14ac:dyDescent="0.2">
      <c r="D15" s="146">
        <v>2.2999999999999998</v>
      </c>
      <c r="E15" s="147" t="s">
        <v>30</v>
      </c>
      <c r="F15" s="147" t="s">
        <v>886</v>
      </c>
      <c r="G15" s="147" t="s">
        <v>125</v>
      </c>
      <c r="H15" s="147">
        <v>3</v>
      </c>
      <c r="I15" s="147" t="s">
        <v>126</v>
      </c>
      <c r="J15" s="147" t="s">
        <v>127</v>
      </c>
    </row>
    <row r="16" spans="4:10" x14ac:dyDescent="0.2">
      <c r="D16" s="146">
        <v>2.4</v>
      </c>
      <c r="E16" s="147" t="s">
        <v>128</v>
      </c>
      <c r="F16" s="147" t="s">
        <v>119</v>
      </c>
      <c r="G16" s="147" t="s">
        <v>129</v>
      </c>
      <c r="H16" s="147">
        <v>3</v>
      </c>
      <c r="I16" s="147" t="s">
        <v>130</v>
      </c>
      <c r="J16" s="147" t="s">
        <v>117</v>
      </c>
    </row>
    <row r="17" spans="4:10" x14ac:dyDescent="0.2">
      <c r="D17" s="146">
        <v>3</v>
      </c>
      <c r="E17" s="147" t="s">
        <v>17</v>
      </c>
      <c r="F17" s="147" t="s">
        <v>97</v>
      </c>
      <c r="G17" s="147" t="s">
        <v>131</v>
      </c>
      <c r="H17" s="147">
        <v>26</v>
      </c>
      <c r="I17" s="147" t="s">
        <v>132</v>
      </c>
      <c r="J17" s="147" t="s">
        <v>133</v>
      </c>
    </row>
    <row r="18" spans="4:10" x14ac:dyDescent="0.2">
      <c r="D18" s="146">
        <v>3.1</v>
      </c>
      <c r="E18" s="147" t="s">
        <v>134</v>
      </c>
      <c r="F18" s="147" t="s">
        <v>112</v>
      </c>
      <c r="G18" s="147" t="s">
        <v>135</v>
      </c>
      <c r="H18" s="147">
        <v>4</v>
      </c>
      <c r="I18" s="147" t="s">
        <v>132</v>
      </c>
      <c r="J18" s="148">
        <v>45666</v>
      </c>
    </row>
    <row r="19" spans="4:10" x14ac:dyDescent="0.2">
      <c r="D19" s="146">
        <v>3.2</v>
      </c>
      <c r="E19" s="147" t="s">
        <v>33</v>
      </c>
      <c r="F19" s="147" t="s">
        <v>100</v>
      </c>
      <c r="G19" s="147" t="s">
        <v>136</v>
      </c>
      <c r="H19" s="147">
        <v>3</v>
      </c>
      <c r="I19" s="148">
        <v>45697</v>
      </c>
      <c r="J19" s="148">
        <v>45756</v>
      </c>
    </row>
    <row r="20" spans="4:10" x14ac:dyDescent="0.2">
      <c r="D20" s="146">
        <v>3.3</v>
      </c>
      <c r="E20" s="147" t="s">
        <v>137</v>
      </c>
      <c r="F20" s="147" t="s">
        <v>100</v>
      </c>
      <c r="G20" s="147" t="s">
        <v>138</v>
      </c>
      <c r="H20" s="147">
        <v>7</v>
      </c>
      <c r="I20" s="148">
        <v>45786</v>
      </c>
      <c r="J20" s="148">
        <v>45970</v>
      </c>
    </row>
    <row r="21" spans="4:10" x14ac:dyDescent="0.2">
      <c r="D21" s="146">
        <v>3.4</v>
      </c>
      <c r="E21" s="147" t="s">
        <v>139</v>
      </c>
      <c r="F21" s="147" t="s">
        <v>100</v>
      </c>
      <c r="G21" s="147" t="s">
        <v>140</v>
      </c>
      <c r="H21" s="147">
        <v>6</v>
      </c>
      <c r="I21" s="148">
        <v>46000</v>
      </c>
      <c r="J21" s="147" t="s">
        <v>141</v>
      </c>
    </row>
    <row r="22" spans="4:10" x14ac:dyDescent="0.2">
      <c r="D22" s="146">
        <v>3.5</v>
      </c>
      <c r="E22" s="147" t="s">
        <v>142</v>
      </c>
      <c r="F22" s="147" t="s">
        <v>112</v>
      </c>
      <c r="G22" s="147" t="s">
        <v>143</v>
      </c>
      <c r="H22" s="147">
        <v>4</v>
      </c>
      <c r="I22" s="147" t="s">
        <v>144</v>
      </c>
      <c r="J22" s="147" t="s">
        <v>145</v>
      </c>
    </row>
    <row r="23" spans="4:10" x14ac:dyDescent="0.2">
      <c r="D23" s="146">
        <v>3.6</v>
      </c>
      <c r="E23" s="147" t="s">
        <v>146</v>
      </c>
      <c r="F23" s="147" t="s">
        <v>886</v>
      </c>
      <c r="G23" s="147" t="s">
        <v>148</v>
      </c>
      <c r="H23" s="147">
        <v>2</v>
      </c>
      <c r="I23" s="147" t="s">
        <v>149</v>
      </c>
      <c r="J23" s="147" t="s">
        <v>133</v>
      </c>
    </row>
    <row r="24" spans="4:10" x14ac:dyDescent="0.2">
      <c r="D24" s="146">
        <v>4</v>
      </c>
      <c r="E24" s="147" t="s">
        <v>150</v>
      </c>
      <c r="F24" s="147" t="s">
        <v>151</v>
      </c>
      <c r="G24" s="147" t="s">
        <v>152</v>
      </c>
      <c r="H24" s="147">
        <v>14</v>
      </c>
      <c r="I24" s="147" t="s">
        <v>153</v>
      </c>
      <c r="J24" s="148">
        <v>45848</v>
      </c>
    </row>
    <row r="25" spans="4:10" x14ac:dyDescent="0.2">
      <c r="D25" s="146">
        <v>4.0999999999999996</v>
      </c>
      <c r="E25" s="147" t="s">
        <v>43</v>
      </c>
      <c r="F25" s="147" t="s">
        <v>119</v>
      </c>
      <c r="G25" s="147" t="s">
        <v>154</v>
      </c>
      <c r="H25" s="147">
        <v>3</v>
      </c>
      <c r="I25" s="147" t="s">
        <v>153</v>
      </c>
      <c r="J25" s="147" t="s">
        <v>155</v>
      </c>
    </row>
    <row r="26" spans="4:10" x14ac:dyDescent="0.2">
      <c r="D26" s="146">
        <v>4.2</v>
      </c>
      <c r="E26" s="147" t="s">
        <v>156</v>
      </c>
      <c r="F26" s="147" t="s">
        <v>886</v>
      </c>
      <c r="G26" s="147" t="s">
        <v>157</v>
      </c>
      <c r="H26" s="147">
        <v>4</v>
      </c>
      <c r="I26" s="147" t="s">
        <v>158</v>
      </c>
      <c r="J26" s="147" t="s">
        <v>159</v>
      </c>
    </row>
    <row r="27" spans="4:10" x14ac:dyDescent="0.2">
      <c r="D27" s="146">
        <v>4.3</v>
      </c>
      <c r="E27" s="147" t="s">
        <v>44</v>
      </c>
      <c r="F27" s="147" t="s">
        <v>160</v>
      </c>
      <c r="G27" s="147" t="s">
        <v>161</v>
      </c>
      <c r="H27" s="147">
        <v>3</v>
      </c>
      <c r="I27" s="148">
        <v>45667</v>
      </c>
      <c r="J27" s="148">
        <v>45726</v>
      </c>
    </row>
    <row r="28" spans="4:10" x14ac:dyDescent="0.2">
      <c r="D28" s="146">
        <v>4.4000000000000004</v>
      </c>
      <c r="E28" s="147" t="s">
        <v>162</v>
      </c>
      <c r="F28" s="147" t="s">
        <v>100</v>
      </c>
      <c r="G28" s="147" t="s">
        <v>163</v>
      </c>
      <c r="H28" s="147">
        <v>2</v>
      </c>
      <c r="I28" s="148">
        <v>45757</v>
      </c>
      <c r="J28" s="148">
        <v>45787</v>
      </c>
    </row>
    <row r="29" spans="4:10" x14ac:dyDescent="0.2">
      <c r="D29" s="146">
        <v>4.5</v>
      </c>
      <c r="E29" s="147" t="s">
        <v>164</v>
      </c>
      <c r="F29" s="147" t="s">
        <v>147</v>
      </c>
      <c r="G29" s="147" t="s">
        <v>165</v>
      </c>
      <c r="H29" s="147">
        <v>2</v>
      </c>
      <c r="I29" s="148">
        <v>45818</v>
      </c>
      <c r="J29" s="148">
        <v>45848</v>
      </c>
    </row>
    <row r="30" spans="4:10" x14ac:dyDescent="0.2">
      <c r="D30" s="146">
        <v>5</v>
      </c>
      <c r="E30" s="147" t="s">
        <v>166</v>
      </c>
      <c r="F30" s="147" t="s">
        <v>115</v>
      </c>
      <c r="G30" s="147" t="s">
        <v>167</v>
      </c>
      <c r="H30" s="147">
        <v>14</v>
      </c>
      <c r="I30" s="148">
        <v>45879</v>
      </c>
      <c r="J30" s="147" t="s">
        <v>168</v>
      </c>
    </row>
    <row r="31" spans="4:10" x14ac:dyDescent="0.2">
      <c r="D31" s="146">
        <v>5.0999999999999996</v>
      </c>
      <c r="E31" s="147" t="s">
        <v>169</v>
      </c>
      <c r="F31" s="147" t="s">
        <v>112</v>
      </c>
      <c r="G31" s="147" t="s">
        <v>170</v>
      </c>
      <c r="H31" s="147">
        <v>3</v>
      </c>
      <c r="I31" s="148">
        <v>45879</v>
      </c>
      <c r="J31" s="148">
        <v>45940</v>
      </c>
    </row>
    <row r="32" spans="4:10" x14ac:dyDescent="0.2">
      <c r="D32" s="146">
        <v>5.2</v>
      </c>
      <c r="E32" s="147" t="s">
        <v>171</v>
      </c>
      <c r="F32" s="147" t="s">
        <v>119</v>
      </c>
      <c r="G32" s="147" t="s">
        <v>172</v>
      </c>
      <c r="H32" s="147">
        <v>3</v>
      </c>
      <c r="I32" s="148">
        <v>45971</v>
      </c>
      <c r="J32" s="147" t="s">
        <v>173</v>
      </c>
    </row>
    <row r="33" spans="4:10" x14ac:dyDescent="0.2">
      <c r="D33" s="146">
        <v>5.3</v>
      </c>
      <c r="E33" s="147" t="s">
        <v>174</v>
      </c>
      <c r="F33" s="147" t="s">
        <v>104</v>
      </c>
      <c r="G33" s="147" t="s">
        <v>175</v>
      </c>
      <c r="H33" s="147">
        <v>3</v>
      </c>
      <c r="I33" s="147" t="s">
        <v>176</v>
      </c>
      <c r="J33" s="147" t="s">
        <v>177</v>
      </c>
    </row>
    <row r="34" spans="4:10" x14ac:dyDescent="0.2">
      <c r="D34" s="146">
        <v>5.4</v>
      </c>
      <c r="E34" s="147" t="s">
        <v>178</v>
      </c>
      <c r="F34" s="147" t="s">
        <v>119</v>
      </c>
      <c r="G34" s="147" t="s">
        <v>179</v>
      </c>
      <c r="H34" s="147">
        <v>4</v>
      </c>
      <c r="I34" s="147" t="s">
        <v>180</v>
      </c>
      <c r="J34" s="147" t="s">
        <v>168</v>
      </c>
    </row>
    <row r="35" spans="4:10" x14ac:dyDescent="0.2">
      <c r="D35" s="146">
        <v>6</v>
      </c>
      <c r="E35" s="147" t="s">
        <v>181</v>
      </c>
      <c r="F35" s="147" t="s">
        <v>182</v>
      </c>
      <c r="G35" s="147" t="s">
        <v>183</v>
      </c>
      <c r="H35" s="147">
        <v>14</v>
      </c>
      <c r="I35" s="147" t="s">
        <v>184</v>
      </c>
      <c r="J35" s="148">
        <v>45941</v>
      </c>
    </row>
    <row r="36" spans="4:10" x14ac:dyDescent="0.2">
      <c r="D36" s="146">
        <v>6.1</v>
      </c>
      <c r="E36" s="147" t="s">
        <v>185</v>
      </c>
      <c r="F36" s="147" t="s">
        <v>112</v>
      </c>
      <c r="G36" s="147" t="s">
        <v>186</v>
      </c>
      <c r="H36" s="147">
        <v>4</v>
      </c>
      <c r="I36" s="147" t="s">
        <v>184</v>
      </c>
      <c r="J36" s="147" t="s">
        <v>187</v>
      </c>
    </row>
    <row r="37" spans="4:10" x14ac:dyDescent="0.2">
      <c r="D37" s="146">
        <v>6.2</v>
      </c>
      <c r="E37" s="147" t="s">
        <v>188</v>
      </c>
      <c r="F37" s="147" t="s">
        <v>886</v>
      </c>
      <c r="G37" s="147" t="s">
        <v>189</v>
      </c>
      <c r="H37" s="147">
        <v>4</v>
      </c>
      <c r="I37" s="147" t="s">
        <v>190</v>
      </c>
      <c r="J37" s="147" t="s">
        <v>191</v>
      </c>
    </row>
    <row r="38" spans="4:10" x14ac:dyDescent="0.2">
      <c r="D38" s="146">
        <v>6.3</v>
      </c>
      <c r="E38" s="147" t="s">
        <v>192</v>
      </c>
      <c r="F38" s="147" t="s">
        <v>193</v>
      </c>
      <c r="G38" s="147" t="s">
        <v>194</v>
      </c>
      <c r="H38" s="147">
        <v>5</v>
      </c>
      <c r="I38" s="147" t="s">
        <v>195</v>
      </c>
      <c r="J38" s="148">
        <v>45758</v>
      </c>
    </row>
    <row r="39" spans="4:10" x14ac:dyDescent="0.2">
      <c r="D39" s="146">
        <v>6.4</v>
      </c>
      <c r="E39" s="147" t="s">
        <v>196</v>
      </c>
      <c r="F39" s="147" t="s">
        <v>147</v>
      </c>
      <c r="G39" s="147" t="s">
        <v>197</v>
      </c>
      <c r="H39" s="147">
        <v>5</v>
      </c>
      <c r="I39" s="148">
        <v>45788</v>
      </c>
      <c r="J39" s="148">
        <v>45941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DFEE8-F364-4D5C-B30B-FAFC09376E12}">
  <dimension ref="C3:O18"/>
  <sheetViews>
    <sheetView showGridLines="0" workbookViewId="0">
      <selection activeCell="D19" sqref="D19"/>
    </sheetView>
  </sheetViews>
  <sheetFormatPr defaultRowHeight="12.75" x14ac:dyDescent="0.2"/>
  <cols>
    <col min="1" max="2" width="9.140625" bestFit="1" customWidth="1"/>
    <col min="3" max="3" width="29.28515625" bestFit="1" customWidth="1"/>
    <col min="4" max="4" width="44.85546875" bestFit="1" customWidth="1"/>
    <col min="5" max="5" width="9.140625" bestFit="1" customWidth="1"/>
    <col min="6" max="6" width="29.28515625" bestFit="1" customWidth="1"/>
    <col min="7" max="7" width="44.85546875" bestFit="1" customWidth="1"/>
    <col min="8" max="8" width="84.5703125" bestFit="1" customWidth="1"/>
    <col min="9" max="9" width="35.7109375" bestFit="1" customWidth="1"/>
    <col min="10" max="10" width="48.28515625" bestFit="1" customWidth="1"/>
    <col min="13" max="13" width="10.7109375" bestFit="1" customWidth="1"/>
    <col min="14" max="14" width="11.85546875" bestFit="1" customWidth="1"/>
  </cols>
  <sheetData>
    <row r="3" spans="3:15" ht="14.25" x14ac:dyDescent="0.2">
      <c r="C3" s="314" t="s">
        <v>198</v>
      </c>
      <c r="D3" s="314" t="s">
        <v>93</v>
      </c>
      <c r="E3" s="314" t="s">
        <v>199</v>
      </c>
      <c r="F3" s="315"/>
      <c r="G3" s="315"/>
    </row>
    <row r="5" spans="3:15" ht="14.25" x14ac:dyDescent="0.2">
      <c r="C5" s="313" t="s">
        <v>49</v>
      </c>
      <c r="D5" s="313" t="s">
        <v>200</v>
      </c>
      <c r="E5" s="313" t="s">
        <v>201</v>
      </c>
      <c r="F5" s="299"/>
      <c r="G5" s="299"/>
    </row>
    <row r="6" spans="3:15" ht="14.25" x14ac:dyDescent="0.2">
      <c r="C6" s="152"/>
      <c r="D6" s="152"/>
      <c r="E6" s="152"/>
    </row>
    <row r="7" spans="3:15" ht="14.25" x14ac:dyDescent="0.2">
      <c r="C7" s="313" t="s">
        <v>16</v>
      </c>
      <c r="D7" s="313" t="s">
        <v>202</v>
      </c>
      <c r="E7" s="313" t="s">
        <v>203</v>
      </c>
      <c r="F7" s="299"/>
      <c r="G7" s="299"/>
      <c r="I7" s="152" t="s">
        <v>204</v>
      </c>
      <c r="J7" s="152" t="s">
        <v>205</v>
      </c>
      <c r="K7" s="152" t="s">
        <v>206</v>
      </c>
      <c r="L7" s="152" t="s">
        <v>6</v>
      </c>
      <c r="M7" s="152" t="s">
        <v>7</v>
      </c>
      <c r="N7" s="152" t="s">
        <v>96</v>
      </c>
      <c r="O7" s="152" t="s">
        <v>207</v>
      </c>
    </row>
    <row r="8" spans="3:15" ht="14.25" x14ac:dyDescent="0.2">
      <c r="C8" s="152"/>
      <c r="D8" s="152"/>
      <c r="E8" s="152"/>
      <c r="I8" s="152" t="s">
        <v>208</v>
      </c>
      <c r="J8" s="152" t="s">
        <v>209</v>
      </c>
      <c r="K8" s="152" t="s">
        <v>210</v>
      </c>
      <c r="L8" s="152" t="s">
        <v>97</v>
      </c>
      <c r="M8" s="153">
        <v>45665</v>
      </c>
      <c r="N8" s="153">
        <v>45724</v>
      </c>
      <c r="O8" s="152" t="s">
        <v>211</v>
      </c>
    </row>
    <row r="9" spans="3:15" ht="14.25" x14ac:dyDescent="0.2">
      <c r="C9" s="313" t="s">
        <v>17</v>
      </c>
      <c r="D9" s="313" t="s">
        <v>212</v>
      </c>
      <c r="E9" s="313" t="s">
        <v>213</v>
      </c>
      <c r="F9" s="299"/>
      <c r="G9" s="299"/>
      <c r="I9" s="152"/>
      <c r="J9" s="152"/>
      <c r="K9" s="152"/>
      <c r="L9" s="152"/>
      <c r="M9" s="153"/>
      <c r="N9" s="153"/>
      <c r="O9" s="152"/>
    </row>
    <row r="10" spans="3:15" ht="14.25" x14ac:dyDescent="0.2">
      <c r="C10" s="152"/>
      <c r="D10" s="152"/>
      <c r="E10" s="152"/>
      <c r="I10" s="152" t="s">
        <v>214</v>
      </c>
      <c r="J10" s="152" t="s">
        <v>215</v>
      </c>
      <c r="K10" s="152" t="s">
        <v>216</v>
      </c>
      <c r="L10" s="152" t="s">
        <v>115</v>
      </c>
      <c r="M10" s="153">
        <v>45755</v>
      </c>
      <c r="N10" s="152" t="s">
        <v>114</v>
      </c>
      <c r="O10" s="152" t="s">
        <v>217</v>
      </c>
    </row>
    <row r="11" spans="3:15" ht="14.25" x14ac:dyDescent="0.2">
      <c r="C11" s="313" t="s">
        <v>150</v>
      </c>
      <c r="D11" s="313" t="s">
        <v>218</v>
      </c>
      <c r="E11" s="313" t="s">
        <v>219</v>
      </c>
      <c r="F11" s="299"/>
      <c r="G11" s="299"/>
      <c r="I11" s="152"/>
      <c r="J11" s="152"/>
      <c r="K11" s="152"/>
      <c r="L11" s="152"/>
      <c r="M11" s="153"/>
      <c r="N11" s="152"/>
      <c r="O11" s="152"/>
    </row>
    <row r="12" spans="3:15" ht="14.25" x14ac:dyDescent="0.2">
      <c r="C12" s="152"/>
      <c r="D12" s="152"/>
      <c r="E12" s="152"/>
      <c r="I12" s="152" t="s">
        <v>220</v>
      </c>
      <c r="J12" s="152" t="s">
        <v>221</v>
      </c>
      <c r="K12" s="152" t="s">
        <v>222</v>
      </c>
      <c r="L12" s="152" t="s">
        <v>97</v>
      </c>
      <c r="M12" s="152" t="s">
        <v>99</v>
      </c>
      <c r="N12" s="152" t="s">
        <v>159</v>
      </c>
      <c r="O12" s="152" t="s">
        <v>223</v>
      </c>
    </row>
    <row r="13" spans="3:15" ht="14.25" x14ac:dyDescent="0.2">
      <c r="C13" s="313" t="s">
        <v>166</v>
      </c>
      <c r="D13" s="313" t="s">
        <v>224</v>
      </c>
      <c r="E13" s="313" t="s">
        <v>225</v>
      </c>
      <c r="F13" s="299"/>
      <c r="G13" s="299"/>
      <c r="I13" s="152"/>
      <c r="J13" s="152"/>
      <c r="K13" s="152"/>
      <c r="L13" s="152"/>
      <c r="M13" s="152"/>
      <c r="N13" s="152"/>
      <c r="O13" s="152"/>
    </row>
    <row r="14" spans="3:15" ht="14.25" x14ac:dyDescent="0.2">
      <c r="C14" s="152"/>
      <c r="D14" s="152"/>
      <c r="E14" s="152"/>
      <c r="I14" s="152" t="s">
        <v>226</v>
      </c>
      <c r="J14" s="152" t="s">
        <v>227</v>
      </c>
      <c r="K14" s="152" t="s">
        <v>228</v>
      </c>
      <c r="L14" s="152" t="s">
        <v>151</v>
      </c>
      <c r="M14" s="153">
        <v>45667</v>
      </c>
      <c r="N14" s="152" t="s">
        <v>229</v>
      </c>
      <c r="O14" s="152" t="s">
        <v>230</v>
      </c>
    </row>
    <row r="15" spans="3:15" ht="14.25" x14ac:dyDescent="0.2">
      <c r="C15" s="313" t="s">
        <v>181</v>
      </c>
      <c r="D15" s="313" t="s">
        <v>231</v>
      </c>
      <c r="E15" s="313" t="s">
        <v>232</v>
      </c>
      <c r="F15" s="299"/>
      <c r="G15" s="299"/>
      <c r="I15" s="152"/>
      <c r="J15" s="152"/>
      <c r="K15" s="152"/>
      <c r="L15" s="152"/>
      <c r="M15" s="153"/>
      <c r="N15" s="152"/>
      <c r="O15" s="152"/>
    </row>
    <row r="16" spans="3:15" ht="14.25" x14ac:dyDescent="0.2">
      <c r="I16" s="152" t="s">
        <v>233</v>
      </c>
      <c r="J16" s="152" t="s">
        <v>234</v>
      </c>
      <c r="K16" s="152" t="s">
        <v>235</v>
      </c>
      <c r="L16" s="152" t="s">
        <v>115</v>
      </c>
      <c r="M16" s="152" t="s">
        <v>177</v>
      </c>
      <c r="N16" s="152" t="s">
        <v>236</v>
      </c>
      <c r="O16" s="152" t="s">
        <v>237</v>
      </c>
    </row>
    <row r="17" spans="9:15" ht="14.25" x14ac:dyDescent="0.2">
      <c r="I17" s="152"/>
      <c r="J17" s="152"/>
      <c r="K17" s="152"/>
      <c r="L17" s="152"/>
      <c r="M17" s="152"/>
      <c r="N17" s="152"/>
      <c r="O17" s="152"/>
    </row>
    <row r="18" spans="9:15" ht="14.25" x14ac:dyDescent="0.2">
      <c r="I18" s="152" t="s">
        <v>238</v>
      </c>
      <c r="J18" s="152" t="s">
        <v>239</v>
      </c>
      <c r="K18" s="152" t="s">
        <v>240</v>
      </c>
      <c r="L18" s="152" t="s">
        <v>182</v>
      </c>
      <c r="M18" s="153">
        <v>45668</v>
      </c>
      <c r="N18" s="153">
        <v>45941</v>
      </c>
      <c r="O18" s="152" t="s">
        <v>241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B6BED-FBCE-4165-BBDA-9F4CFB72502D}">
  <dimension ref="C9:M19"/>
  <sheetViews>
    <sheetView showGridLines="0" topLeftCell="A4" workbookViewId="0">
      <selection activeCell="K23" sqref="K23"/>
    </sheetView>
  </sheetViews>
  <sheetFormatPr defaultRowHeight="12.75" x14ac:dyDescent="0.2"/>
  <cols>
    <col min="1" max="1" width="7.140625" bestFit="1" customWidth="1"/>
    <col min="2" max="2" width="23.140625" bestFit="1" customWidth="1"/>
    <col min="3" max="3" width="30.28515625" bestFit="1" customWidth="1"/>
    <col min="4" max="4" width="57.140625" bestFit="1" customWidth="1"/>
    <col min="5" max="5" width="23.28515625" bestFit="1" customWidth="1"/>
    <col min="6" max="6" width="13.7109375" bestFit="1" customWidth="1"/>
    <col min="7" max="7" width="18.140625" bestFit="1" customWidth="1"/>
    <col min="8" max="8" width="18.7109375" bestFit="1" customWidth="1"/>
    <col min="9" max="9" width="10.42578125" bestFit="1" customWidth="1"/>
    <col min="10" max="10" width="12.42578125" bestFit="1" customWidth="1"/>
    <col min="11" max="11" width="13.85546875" bestFit="1" customWidth="1"/>
    <col min="12" max="12" width="36.7109375" bestFit="1" customWidth="1"/>
    <col min="13" max="13" width="39.42578125" bestFit="1" customWidth="1"/>
  </cols>
  <sheetData>
    <row r="9" spans="3:13" ht="15" x14ac:dyDescent="0.2">
      <c r="C9" s="298" t="s">
        <v>198</v>
      </c>
      <c r="D9" s="298" t="s">
        <v>242</v>
      </c>
      <c r="E9" s="298" t="s">
        <v>243</v>
      </c>
      <c r="F9" s="298" t="s">
        <v>6</v>
      </c>
      <c r="G9" s="298" t="s">
        <v>244</v>
      </c>
      <c r="H9" s="298" t="s">
        <v>245</v>
      </c>
      <c r="I9" s="298" t="s">
        <v>3</v>
      </c>
      <c r="J9" s="298" t="s">
        <v>246</v>
      </c>
      <c r="K9" s="298" t="s">
        <v>247</v>
      </c>
      <c r="L9" s="298" t="s">
        <v>94</v>
      </c>
      <c r="M9" s="298" t="s">
        <v>248</v>
      </c>
    </row>
    <row r="10" spans="3:13" x14ac:dyDescent="0.2">
      <c r="C10" s="299" t="s">
        <v>49</v>
      </c>
      <c r="D10" s="299" t="s">
        <v>249</v>
      </c>
      <c r="E10" s="299" t="s">
        <v>250</v>
      </c>
      <c r="F10" s="299" t="s">
        <v>100</v>
      </c>
      <c r="G10" s="299">
        <v>2</v>
      </c>
      <c r="H10" s="299">
        <v>1.9</v>
      </c>
      <c r="I10" s="300">
        <v>45665</v>
      </c>
      <c r="J10" s="300">
        <v>45938</v>
      </c>
      <c r="K10" s="299" t="s">
        <v>251</v>
      </c>
      <c r="L10" s="299" t="s">
        <v>252</v>
      </c>
      <c r="M10" s="299" t="s">
        <v>253</v>
      </c>
    </row>
    <row r="11" spans="3:13" x14ac:dyDescent="0.2">
      <c r="C11" s="299" t="s">
        <v>254</v>
      </c>
      <c r="D11" s="299" t="s">
        <v>255</v>
      </c>
      <c r="E11" s="299" t="s">
        <v>256</v>
      </c>
      <c r="F11" s="299" t="s">
        <v>100</v>
      </c>
      <c r="G11" s="299">
        <v>2.2000000000000002</v>
      </c>
      <c r="H11" s="299">
        <v>2.1</v>
      </c>
      <c r="I11" s="300">
        <v>45969</v>
      </c>
      <c r="J11" s="299" t="s">
        <v>102</v>
      </c>
      <c r="K11" s="300" t="s">
        <v>251</v>
      </c>
      <c r="L11" s="299" t="s">
        <v>257</v>
      </c>
      <c r="M11" s="299" t="s">
        <v>258</v>
      </c>
    </row>
    <row r="12" spans="3:13" x14ac:dyDescent="0.2">
      <c r="C12" s="299" t="s">
        <v>259</v>
      </c>
      <c r="D12" s="299" t="s">
        <v>260</v>
      </c>
      <c r="E12" s="299" t="s">
        <v>261</v>
      </c>
      <c r="F12" s="299" t="s">
        <v>119</v>
      </c>
      <c r="G12" s="299">
        <v>3.5</v>
      </c>
      <c r="H12" s="299">
        <v>3.8</v>
      </c>
      <c r="I12" s="299" t="s">
        <v>121</v>
      </c>
      <c r="J12" s="299" t="s">
        <v>262</v>
      </c>
      <c r="K12" s="299" t="s">
        <v>251</v>
      </c>
      <c r="L12" s="299" t="s">
        <v>263</v>
      </c>
      <c r="M12" s="299" t="s">
        <v>264</v>
      </c>
    </row>
    <row r="13" spans="3:13" x14ac:dyDescent="0.2">
      <c r="C13" s="299" t="s">
        <v>265</v>
      </c>
      <c r="D13" s="299" t="s">
        <v>266</v>
      </c>
      <c r="E13" s="299" t="s">
        <v>267</v>
      </c>
      <c r="F13" s="299" t="s">
        <v>886</v>
      </c>
      <c r="G13" s="299">
        <v>5.5</v>
      </c>
      <c r="H13" s="299">
        <v>5.7</v>
      </c>
      <c r="I13" s="300">
        <v>45666</v>
      </c>
      <c r="J13" s="299" t="s">
        <v>268</v>
      </c>
      <c r="K13" s="299" t="s">
        <v>269</v>
      </c>
      <c r="L13" s="299" t="s">
        <v>270</v>
      </c>
      <c r="M13" s="299" t="s">
        <v>271</v>
      </c>
    </row>
    <row r="14" spans="3:13" x14ac:dyDescent="0.2">
      <c r="C14" s="299" t="s">
        <v>272</v>
      </c>
      <c r="D14" s="299" t="s">
        <v>273</v>
      </c>
      <c r="E14" s="299" t="s">
        <v>267</v>
      </c>
      <c r="F14" s="299" t="s">
        <v>100</v>
      </c>
      <c r="G14" s="299">
        <v>4</v>
      </c>
      <c r="H14" s="299">
        <v>3.9</v>
      </c>
      <c r="I14" s="299" t="s">
        <v>274</v>
      </c>
      <c r="J14" s="299" t="s">
        <v>275</v>
      </c>
      <c r="K14" s="299" t="s">
        <v>269</v>
      </c>
      <c r="L14" s="300" t="s">
        <v>276</v>
      </c>
      <c r="M14" s="299" t="s">
        <v>277</v>
      </c>
    </row>
    <row r="15" spans="3:13" x14ac:dyDescent="0.2">
      <c r="C15" s="299" t="s">
        <v>278</v>
      </c>
      <c r="D15" s="299" t="s">
        <v>279</v>
      </c>
      <c r="E15" s="299" t="s">
        <v>280</v>
      </c>
      <c r="F15" s="299" t="s">
        <v>886</v>
      </c>
      <c r="G15" s="299">
        <v>2.8</v>
      </c>
      <c r="H15" s="299">
        <v>2.5</v>
      </c>
      <c r="I15" s="299" t="s">
        <v>155</v>
      </c>
      <c r="J15" s="300">
        <v>45787</v>
      </c>
      <c r="K15" s="300" t="s">
        <v>281</v>
      </c>
      <c r="L15" s="300" t="s">
        <v>282</v>
      </c>
      <c r="M15" s="299" t="s">
        <v>283</v>
      </c>
    </row>
    <row r="16" spans="3:13" x14ac:dyDescent="0.2">
      <c r="C16" s="299" t="s">
        <v>284</v>
      </c>
      <c r="D16" s="299" t="s">
        <v>285</v>
      </c>
      <c r="E16" s="299" t="s">
        <v>286</v>
      </c>
      <c r="F16" s="299" t="s">
        <v>107</v>
      </c>
      <c r="G16" s="299">
        <v>1.6</v>
      </c>
      <c r="H16" s="299">
        <v>1.5</v>
      </c>
      <c r="I16" s="300">
        <v>45818</v>
      </c>
      <c r="J16" s="299" t="s">
        <v>229</v>
      </c>
      <c r="K16" s="300" t="s">
        <v>281</v>
      </c>
      <c r="L16" s="299" t="s">
        <v>287</v>
      </c>
      <c r="M16" s="299" t="s">
        <v>288</v>
      </c>
    </row>
    <row r="17" spans="3:13" x14ac:dyDescent="0.2">
      <c r="C17" s="299" t="s">
        <v>289</v>
      </c>
      <c r="D17" s="299" t="s">
        <v>290</v>
      </c>
      <c r="E17" s="299" t="s">
        <v>291</v>
      </c>
      <c r="F17" s="299" t="s">
        <v>119</v>
      </c>
      <c r="G17" s="299">
        <v>3</v>
      </c>
      <c r="H17" s="299">
        <v>3.2</v>
      </c>
      <c r="I17" s="299" t="s">
        <v>177</v>
      </c>
      <c r="J17" s="299" t="s">
        <v>187</v>
      </c>
      <c r="K17" s="300" t="s">
        <v>281</v>
      </c>
      <c r="L17" s="300" t="s">
        <v>292</v>
      </c>
      <c r="M17" s="299" t="s">
        <v>293</v>
      </c>
    </row>
    <row r="18" spans="3:13" x14ac:dyDescent="0.2">
      <c r="C18" s="299" t="s">
        <v>294</v>
      </c>
      <c r="D18" s="299" t="s">
        <v>295</v>
      </c>
      <c r="E18" s="299" t="s">
        <v>296</v>
      </c>
      <c r="F18" s="299" t="s">
        <v>104</v>
      </c>
      <c r="G18" s="299">
        <v>1.5</v>
      </c>
      <c r="H18" s="299">
        <v>1.3</v>
      </c>
      <c r="I18" s="300">
        <v>45818</v>
      </c>
      <c r="J18" s="299" t="s">
        <v>297</v>
      </c>
      <c r="K18" s="300" t="s">
        <v>281</v>
      </c>
      <c r="L18" s="300" t="s">
        <v>298</v>
      </c>
      <c r="M18" s="299" t="s">
        <v>299</v>
      </c>
    </row>
    <row r="19" spans="3:13" x14ac:dyDescent="0.2">
      <c r="C19" s="299" t="s">
        <v>300</v>
      </c>
      <c r="D19" s="299" t="s">
        <v>301</v>
      </c>
      <c r="E19" s="299" t="s">
        <v>302</v>
      </c>
      <c r="F19" s="299" t="s">
        <v>112</v>
      </c>
      <c r="G19" s="299">
        <v>1.2</v>
      </c>
      <c r="H19" s="299">
        <v>1.1000000000000001</v>
      </c>
      <c r="I19" s="299" t="s">
        <v>190</v>
      </c>
      <c r="J19" s="300">
        <v>45941</v>
      </c>
      <c r="K19" s="299" t="s">
        <v>303</v>
      </c>
      <c r="L19" s="299" t="s">
        <v>304</v>
      </c>
      <c r="M19" s="299" t="s">
        <v>305</v>
      </c>
    </row>
  </sheetData>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1A8A2-16B9-4E90-AE1E-31AE638AC714}">
  <dimension ref="G10:P18"/>
  <sheetViews>
    <sheetView showGridLines="0" topLeftCell="F1" workbookViewId="0">
      <selection activeCell="I26" sqref="I26"/>
    </sheetView>
  </sheetViews>
  <sheetFormatPr defaultRowHeight="12.75" x14ac:dyDescent="0.2"/>
  <cols>
    <col min="7" max="7" width="23.7109375" bestFit="1" customWidth="1"/>
    <col min="8" max="8" width="38.85546875" bestFit="1" customWidth="1"/>
    <col min="9" max="9" width="11.85546875" bestFit="1" customWidth="1"/>
    <col min="10" max="10" width="11" bestFit="1" customWidth="1"/>
    <col min="11" max="11" width="9" customWidth="1"/>
    <col min="12" max="12" width="13.42578125" bestFit="1" customWidth="1"/>
    <col min="13" max="13" width="11.42578125" bestFit="1" customWidth="1"/>
    <col min="14" max="14" width="36.7109375" bestFit="1" customWidth="1"/>
    <col min="15" max="15" width="13.7109375" bestFit="1" customWidth="1"/>
  </cols>
  <sheetData>
    <row r="10" spans="7:16" x14ac:dyDescent="0.2">
      <c r="G10" s="316" t="s">
        <v>306</v>
      </c>
      <c r="H10" s="316" t="s">
        <v>307</v>
      </c>
      <c r="I10" s="316" t="s">
        <v>6</v>
      </c>
      <c r="J10" s="316" t="s">
        <v>308</v>
      </c>
      <c r="K10" s="316" t="s">
        <v>309</v>
      </c>
      <c r="L10" s="316" t="s">
        <v>310</v>
      </c>
      <c r="M10" s="316" t="s">
        <v>311</v>
      </c>
      <c r="N10" s="316" t="s">
        <v>312</v>
      </c>
      <c r="O10" s="316" t="s">
        <v>247</v>
      </c>
    </row>
    <row r="11" spans="7:16" x14ac:dyDescent="0.2">
      <c r="G11" s="311" t="s">
        <v>14</v>
      </c>
      <c r="H11" s="311" t="s">
        <v>313</v>
      </c>
      <c r="I11" s="311" t="s">
        <v>100</v>
      </c>
      <c r="J11" s="311">
        <v>2</v>
      </c>
      <c r="K11" s="311">
        <v>1.9</v>
      </c>
      <c r="L11" s="311">
        <v>100</v>
      </c>
      <c r="M11" s="312">
        <v>0.95</v>
      </c>
      <c r="N11" s="311" t="s">
        <v>314</v>
      </c>
      <c r="O11" s="311" t="s">
        <v>251</v>
      </c>
      <c r="P11" s="311"/>
    </row>
    <row r="12" spans="7:16" x14ac:dyDescent="0.2">
      <c r="G12" s="311" t="s">
        <v>315</v>
      </c>
      <c r="H12" s="311" t="s">
        <v>316</v>
      </c>
      <c r="I12" s="311" t="s">
        <v>119</v>
      </c>
      <c r="J12" s="311">
        <v>5.7</v>
      </c>
      <c r="K12" s="311">
        <v>5.9</v>
      </c>
      <c r="L12" s="311">
        <v>-200</v>
      </c>
      <c r="M12" s="312">
        <v>1.04</v>
      </c>
      <c r="N12" s="311" t="s">
        <v>317</v>
      </c>
      <c r="O12" s="311" t="s">
        <v>251</v>
      </c>
      <c r="P12" s="311"/>
    </row>
    <row r="13" spans="7:16" x14ac:dyDescent="0.2">
      <c r="G13" s="311" t="s">
        <v>17</v>
      </c>
      <c r="H13" s="311" t="s">
        <v>318</v>
      </c>
      <c r="I13" s="311" t="s">
        <v>886</v>
      </c>
      <c r="J13" s="311">
        <v>9.5</v>
      </c>
      <c r="K13" s="311">
        <v>9.6</v>
      </c>
      <c r="L13" s="311">
        <v>-100</v>
      </c>
      <c r="M13" s="312">
        <v>1.01</v>
      </c>
      <c r="N13" s="311" t="s">
        <v>319</v>
      </c>
      <c r="O13" s="311" t="s">
        <v>269</v>
      </c>
      <c r="P13" s="311"/>
    </row>
    <row r="14" spans="7:16" x14ac:dyDescent="0.2">
      <c r="G14" s="311" t="s">
        <v>320</v>
      </c>
      <c r="H14" s="311" t="s">
        <v>321</v>
      </c>
      <c r="I14" s="311" t="s">
        <v>100</v>
      </c>
      <c r="J14" s="311">
        <v>2.8</v>
      </c>
      <c r="K14" s="311">
        <v>2.5</v>
      </c>
      <c r="L14" s="311">
        <v>300</v>
      </c>
      <c r="M14" s="312">
        <v>0.89</v>
      </c>
      <c r="N14" s="311" t="s">
        <v>322</v>
      </c>
      <c r="O14" s="311" t="s">
        <v>281</v>
      </c>
      <c r="P14" s="311"/>
    </row>
    <row r="15" spans="7:16" x14ac:dyDescent="0.2">
      <c r="G15" s="311" t="s">
        <v>289</v>
      </c>
      <c r="H15" s="311" t="s">
        <v>323</v>
      </c>
      <c r="I15" s="311" t="s">
        <v>119</v>
      </c>
      <c r="J15" s="311">
        <v>3</v>
      </c>
      <c r="K15" s="311">
        <v>3.2</v>
      </c>
      <c r="L15" s="311">
        <v>-200</v>
      </c>
      <c r="M15" s="312">
        <v>1.06</v>
      </c>
      <c r="N15" s="311" t="s">
        <v>324</v>
      </c>
      <c r="O15" s="311" t="s">
        <v>281</v>
      </c>
      <c r="P15" s="311"/>
    </row>
    <row r="16" spans="7:16" x14ac:dyDescent="0.2">
      <c r="G16" s="311" t="s">
        <v>296</v>
      </c>
      <c r="H16" s="311" t="s">
        <v>325</v>
      </c>
      <c r="I16" s="311" t="s">
        <v>104</v>
      </c>
      <c r="J16" s="311">
        <v>1.5</v>
      </c>
      <c r="K16" s="311">
        <v>1.3</v>
      </c>
      <c r="L16" s="311">
        <v>200</v>
      </c>
      <c r="M16" s="312">
        <v>0.87</v>
      </c>
      <c r="N16" s="311" t="s">
        <v>326</v>
      </c>
      <c r="O16" s="311" t="s">
        <v>281</v>
      </c>
      <c r="P16" s="311"/>
    </row>
    <row r="17" spans="7:16" x14ac:dyDescent="0.2">
      <c r="G17" s="311" t="s">
        <v>327</v>
      </c>
      <c r="H17" s="311" t="s">
        <v>328</v>
      </c>
      <c r="I17" s="311" t="s">
        <v>112</v>
      </c>
      <c r="J17" s="311">
        <v>1.2</v>
      </c>
      <c r="K17" s="311">
        <v>1.1000000000000001</v>
      </c>
      <c r="L17" s="311">
        <v>100</v>
      </c>
      <c r="M17" s="312">
        <v>0.92</v>
      </c>
      <c r="N17" s="311" t="s">
        <v>329</v>
      </c>
      <c r="O17" s="311" t="s">
        <v>303</v>
      </c>
      <c r="P17" s="311"/>
    </row>
    <row r="18" spans="7:16" x14ac:dyDescent="0.2">
      <c r="G18" s="311" t="s">
        <v>330</v>
      </c>
      <c r="H18" s="311" t="s">
        <v>331</v>
      </c>
      <c r="I18" s="311" t="s">
        <v>331</v>
      </c>
      <c r="J18" s="311">
        <v>25.7</v>
      </c>
      <c r="K18" s="311">
        <v>25.5</v>
      </c>
      <c r="L18" s="311">
        <v>200</v>
      </c>
      <c r="M18" s="312">
        <v>0.99</v>
      </c>
      <c r="N18" s="311" t="s">
        <v>332</v>
      </c>
      <c r="O18" s="311" t="s">
        <v>333</v>
      </c>
      <c r="P18" s="3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B8990-1A9C-4621-8DC6-1B249353158A}">
  <dimension ref="D4:M12"/>
  <sheetViews>
    <sheetView showGridLines="0" workbookViewId="0">
      <selection activeCell="F18" sqref="F18"/>
    </sheetView>
  </sheetViews>
  <sheetFormatPr defaultRowHeight="12.75" x14ac:dyDescent="0.2"/>
  <cols>
    <col min="4" max="4" width="3.5703125" bestFit="1" customWidth="1"/>
    <col min="5" max="5" width="40.140625" bestFit="1" customWidth="1"/>
    <col min="6" max="6" width="16.5703125" bestFit="1" customWidth="1"/>
    <col min="7" max="7" width="11.85546875" bestFit="1" customWidth="1"/>
    <col min="8" max="8" width="18.5703125" bestFit="1" customWidth="1"/>
    <col min="9" max="9" width="12" bestFit="1" customWidth="1"/>
    <col min="10" max="10" width="34" bestFit="1" customWidth="1"/>
    <col min="11" max="11" width="38" bestFit="1" customWidth="1"/>
    <col min="12" max="12" width="11.85546875" bestFit="1" customWidth="1"/>
    <col min="13" max="13" width="14.140625" bestFit="1" customWidth="1"/>
    <col min="16384" max="16384" width="9.140625" bestFit="1" customWidth="1"/>
  </cols>
  <sheetData>
    <row r="4" spans="4:13" x14ac:dyDescent="0.2">
      <c r="D4" s="315" t="s">
        <v>334</v>
      </c>
      <c r="E4" s="315" t="s">
        <v>335</v>
      </c>
      <c r="F4" s="317" t="s">
        <v>336</v>
      </c>
      <c r="G4" s="317" t="s">
        <v>337</v>
      </c>
      <c r="H4" s="317" t="s">
        <v>338</v>
      </c>
      <c r="I4" s="317" t="s">
        <v>339</v>
      </c>
      <c r="J4" s="317" t="s">
        <v>340</v>
      </c>
      <c r="K4" s="317" t="s">
        <v>341</v>
      </c>
      <c r="L4" s="317" t="s">
        <v>6</v>
      </c>
      <c r="M4" s="317" t="s">
        <v>247</v>
      </c>
    </row>
    <row r="5" spans="4:13" x14ac:dyDescent="0.2">
      <c r="D5" s="299" t="s">
        <v>342</v>
      </c>
      <c r="E5" s="299" t="s">
        <v>343</v>
      </c>
      <c r="F5" s="310">
        <v>3</v>
      </c>
      <c r="G5" s="299">
        <v>4</v>
      </c>
      <c r="H5" s="299">
        <v>12</v>
      </c>
      <c r="I5" s="299" t="s">
        <v>344</v>
      </c>
      <c r="J5" s="299" t="s">
        <v>345</v>
      </c>
      <c r="K5" s="299" t="s">
        <v>346</v>
      </c>
      <c r="L5" s="299" t="s">
        <v>100</v>
      </c>
      <c r="M5" s="299" t="s">
        <v>347</v>
      </c>
    </row>
    <row r="6" spans="4:13" x14ac:dyDescent="0.2">
      <c r="D6" s="299" t="s">
        <v>348</v>
      </c>
      <c r="E6" s="299" t="s">
        <v>349</v>
      </c>
      <c r="F6" s="310">
        <v>2</v>
      </c>
      <c r="G6" s="299">
        <v>5</v>
      </c>
      <c r="H6" s="299">
        <v>10</v>
      </c>
      <c r="I6" s="299" t="s">
        <v>344</v>
      </c>
      <c r="J6" s="299" t="s">
        <v>350</v>
      </c>
      <c r="K6" s="299" t="s">
        <v>351</v>
      </c>
      <c r="L6" s="299" t="s">
        <v>886</v>
      </c>
      <c r="M6" s="299" t="s">
        <v>352</v>
      </c>
    </row>
    <row r="7" spans="4:13" x14ac:dyDescent="0.2">
      <c r="D7" s="299" t="s">
        <v>353</v>
      </c>
      <c r="E7" s="299" t="s">
        <v>354</v>
      </c>
      <c r="F7" s="310">
        <v>2</v>
      </c>
      <c r="G7" s="299">
        <v>3</v>
      </c>
      <c r="H7" s="299">
        <v>6</v>
      </c>
      <c r="I7" s="299" t="s">
        <v>355</v>
      </c>
      <c r="J7" s="299" t="s">
        <v>356</v>
      </c>
      <c r="K7" s="299" t="s">
        <v>357</v>
      </c>
      <c r="L7" s="299" t="s">
        <v>104</v>
      </c>
      <c r="M7" s="299" t="s">
        <v>358</v>
      </c>
    </row>
    <row r="8" spans="4:13" x14ac:dyDescent="0.2">
      <c r="D8" s="299" t="s">
        <v>359</v>
      </c>
      <c r="E8" s="299" t="s">
        <v>360</v>
      </c>
      <c r="F8" s="310">
        <v>3</v>
      </c>
      <c r="G8" s="299">
        <v>2</v>
      </c>
      <c r="H8" s="299">
        <v>6</v>
      </c>
      <c r="I8" s="299" t="s">
        <v>355</v>
      </c>
      <c r="J8" s="299" t="s">
        <v>361</v>
      </c>
      <c r="K8" s="299" t="s">
        <v>362</v>
      </c>
      <c r="L8" s="299" t="s">
        <v>119</v>
      </c>
      <c r="M8" s="299" t="s">
        <v>352</v>
      </c>
    </row>
    <row r="9" spans="4:13" x14ac:dyDescent="0.2">
      <c r="D9" s="299" t="s">
        <v>363</v>
      </c>
      <c r="E9" s="299" t="s">
        <v>364</v>
      </c>
      <c r="F9" s="310">
        <v>2</v>
      </c>
      <c r="G9" s="299">
        <v>4</v>
      </c>
      <c r="H9" s="299">
        <v>8</v>
      </c>
      <c r="I9" s="299" t="s">
        <v>344</v>
      </c>
      <c r="J9" s="299" t="s">
        <v>365</v>
      </c>
      <c r="K9" s="299" t="s">
        <v>366</v>
      </c>
      <c r="L9" s="299" t="s">
        <v>112</v>
      </c>
      <c r="M9" s="299" t="s">
        <v>367</v>
      </c>
    </row>
    <row r="10" spans="4:13" x14ac:dyDescent="0.2">
      <c r="D10" s="299" t="s">
        <v>368</v>
      </c>
      <c r="E10" s="299" t="s">
        <v>369</v>
      </c>
      <c r="F10" s="310">
        <v>3</v>
      </c>
      <c r="G10" s="299">
        <v>3</v>
      </c>
      <c r="H10" s="299">
        <v>9</v>
      </c>
      <c r="I10" s="299" t="s">
        <v>355</v>
      </c>
      <c r="J10" s="299" t="s">
        <v>370</v>
      </c>
      <c r="K10" s="299" t="s">
        <v>371</v>
      </c>
      <c r="L10" s="299" t="s">
        <v>119</v>
      </c>
      <c r="M10" s="299" t="s">
        <v>281</v>
      </c>
    </row>
    <row r="11" spans="4:13" x14ac:dyDescent="0.2">
      <c r="D11" s="299" t="s">
        <v>372</v>
      </c>
      <c r="E11" s="299" t="s">
        <v>373</v>
      </c>
      <c r="F11" s="310">
        <v>1</v>
      </c>
      <c r="G11" s="299">
        <v>5</v>
      </c>
      <c r="H11" s="299">
        <v>5</v>
      </c>
      <c r="I11" s="299" t="s">
        <v>355</v>
      </c>
      <c r="J11" s="299" t="s">
        <v>374</v>
      </c>
      <c r="K11" s="299" t="s">
        <v>375</v>
      </c>
      <c r="L11" s="299" t="s">
        <v>100</v>
      </c>
      <c r="M11" s="299" t="s">
        <v>352</v>
      </c>
    </row>
    <row r="12" spans="4:13" x14ac:dyDescent="0.2">
      <c r="D12" s="299" t="s">
        <v>376</v>
      </c>
      <c r="E12" s="299" t="s">
        <v>377</v>
      </c>
      <c r="F12" s="310">
        <v>2</v>
      </c>
      <c r="G12" s="299">
        <v>3</v>
      </c>
      <c r="H12" s="299">
        <v>6</v>
      </c>
      <c r="I12" s="299" t="s">
        <v>355</v>
      </c>
      <c r="J12" s="299" t="s">
        <v>378</v>
      </c>
      <c r="K12" s="299" t="s">
        <v>379</v>
      </c>
      <c r="L12" s="299" t="s">
        <v>104</v>
      </c>
      <c r="M12" s="299" t="s">
        <v>303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DAF97-8510-4B1E-BCDE-668847EE4E5C}">
  <dimension ref="D5:J18"/>
  <sheetViews>
    <sheetView showGridLines="0" workbookViewId="0">
      <selection activeCell="D6" sqref="D6:J6"/>
    </sheetView>
  </sheetViews>
  <sheetFormatPr defaultRowHeight="12.75" x14ac:dyDescent="0.2"/>
  <cols>
    <col min="4" max="4" width="25.140625" bestFit="1" customWidth="1"/>
    <col min="5" max="5" width="46.85546875" bestFit="1" customWidth="1"/>
    <col min="6" max="6" width="52" bestFit="1" customWidth="1"/>
    <col min="7" max="7" width="55" bestFit="1" customWidth="1"/>
    <col min="8" max="8" width="17" bestFit="1" customWidth="1"/>
    <col min="9" max="9" width="15.5703125" bestFit="1" customWidth="1"/>
    <col min="10" max="10" width="10.42578125" bestFit="1" customWidth="1"/>
    <col min="11" max="11" width="17" bestFit="1" customWidth="1"/>
  </cols>
  <sheetData>
    <row r="5" spans="4:10" ht="15" x14ac:dyDescent="0.2">
      <c r="D5" s="166"/>
      <c r="E5" s="166"/>
      <c r="F5" s="166"/>
      <c r="G5" s="166"/>
      <c r="H5" s="166"/>
      <c r="I5" s="166"/>
      <c r="J5" s="166"/>
    </row>
    <row r="6" spans="4:10" ht="15.75" x14ac:dyDescent="0.25">
      <c r="D6" s="318" t="s">
        <v>198</v>
      </c>
      <c r="E6" s="318" t="s">
        <v>335</v>
      </c>
      <c r="F6" s="318" t="s">
        <v>380</v>
      </c>
      <c r="G6" s="318" t="s">
        <v>381</v>
      </c>
      <c r="H6" s="318" t="s">
        <v>247</v>
      </c>
      <c r="I6" s="318" t="s">
        <v>6</v>
      </c>
      <c r="J6" s="318" t="s">
        <v>382</v>
      </c>
    </row>
    <row r="7" spans="4:10" x14ac:dyDescent="0.2">
      <c r="D7" t="s">
        <v>49</v>
      </c>
      <c r="E7" t="s">
        <v>383</v>
      </c>
      <c r="F7" t="s">
        <v>384</v>
      </c>
      <c r="G7" t="s">
        <v>385</v>
      </c>
      <c r="H7" t="s">
        <v>386</v>
      </c>
      <c r="I7" t="s">
        <v>100</v>
      </c>
      <c r="J7" s="150">
        <v>45665</v>
      </c>
    </row>
    <row r="8" spans="4:10" x14ac:dyDescent="0.2">
      <c r="D8" t="s">
        <v>49</v>
      </c>
      <c r="E8" t="s">
        <v>387</v>
      </c>
      <c r="F8" t="s">
        <v>388</v>
      </c>
      <c r="G8" t="s">
        <v>389</v>
      </c>
      <c r="H8" t="s">
        <v>386</v>
      </c>
      <c r="I8" t="s">
        <v>886</v>
      </c>
      <c r="J8" s="150">
        <v>45877</v>
      </c>
    </row>
    <row r="9" spans="4:10" x14ac:dyDescent="0.2">
      <c r="D9" t="s">
        <v>16</v>
      </c>
      <c r="E9" t="s">
        <v>390</v>
      </c>
      <c r="F9" t="s">
        <v>391</v>
      </c>
      <c r="G9" t="s">
        <v>392</v>
      </c>
      <c r="H9" t="s">
        <v>352</v>
      </c>
      <c r="I9" t="s">
        <v>119</v>
      </c>
      <c r="J9" t="s">
        <v>114</v>
      </c>
    </row>
    <row r="10" spans="4:10" x14ac:dyDescent="0.2">
      <c r="D10" t="s">
        <v>16</v>
      </c>
      <c r="E10" t="s">
        <v>393</v>
      </c>
      <c r="F10" t="s">
        <v>394</v>
      </c>
      <c r="G10" t="s">
        <v>395</v>
      </c>
      <c r="H10" t="s">
        <v>396</v>
      </c>
      <c r="I10" t="s">
        <v>119</v>
      </c>
      <c r="J10" t="s">
        <v>127</v>
      </c>
    </row>
    <row r="11" spans="4:10" x14ac:dyDescent="0.2">
      <c r="D11" t="s">
        <v>17</v>
      </c>
      <c r="E11" t="s">
        <v>397</v>
      </c>
      <c r="F11" t="s">
        <v>398</v>
      </c>
      <c r="G11" t="s">
        <v>399</v>
      </c>
      <c r="H11" t="s">
        <v>352</v>
      </c>
      <c r="I11" t="s">
        <v>100</v>
      </c>
      <c r="J11" s="150">
        <v>45939</v>
      </c>
    </row>
    <row r="12" spans="4:10" x14ac:dyDescent="0.2">
      <c r="D12" t="s">
        <v>17</v>
      </c>
      <c r="E12" t="s">
        <v>400</v>
      </c>
      <c r="F12" t="s">
        <v>401</v>
      </c>
      <c r="G12" t="s">
        <v>402</v>
      </c>
      <c r="H12" t="s">
        <v>386</v>
      </c>
      <c r="I12" t="s">
        <v>104</v>
      </c>
      <c r="J12" t="s">
        <v>144</v>
      </c>
    </row>
    <row r="13" spans="4:10" x14ac:dyDescent="0.2">
      <c r="D13" t="s">
        <v>17</v>
      </c>
      <c r="E13" t="s">
        <v>403</v>
      </c>
      <c r="F13" t="s">
        <v>404</v>
      </c>
      <c r="G13" t="s">
        <v>405</v>
      </c>
      <c r="H13" t="s">
        <v>386</v>
      </c>
      <c r="I13" t="s">
        <v>100</v>
      </c>
      <c r="J13" t="s">
        <v>275</v>
      </c>
    </row>
    <row r="14" spans="4:10" x14ac:dyDescent="0.2">
      <c r="D14" t="s">
        <v>406</v>
      </c>
      <c r="E14" t="s">
        <v>407</v>
      </c>
      <c r="F14" t="s">
        <v>408</v>
      </c>
      <c r="G14" t="s">
        <v>409</v>
      </c>
      <c r="H14" t="s">
        <v>386</v>
      </c>
      <c r="I14" t="s">
        <v>100</v>
      </c>
      <c r="J14" t="s">
        <v>410</v>
      </c>
    </row>
    <row r="15" spans="4:10" x14ac:dyDescent="0.2">
      <c r="D15" t="s">
        <v>406</v>
      </c>
      <c r="E15" t="s">
        <v>411</v>
      </c>
      <c r="F15" t="s">
        <v>412</v>
      </c>
      <c r="G15" t="s">
        <v>413</v>
      </c>
      <c r="H15" t="s">
        <v>386</v>
      </c>
      <c r="I15" t="s">
        <v>104</v>
      </c>
      <c r="J15" s="150">
        <v>45787</v>
      </c>
    </row>
    <row r="16" spans="4:10" x14ac:dyDescent="0.2">
      <c r="D16" t="s">
        <v>414</v>
      </c>
      <c r="E16" t="s">
        <v>415</v>
      </c>
      <c r="F16" t="s">
        <v>416</v>
      </c>
      <c r="G16" t="s">
        <v>417</v>
      </c>
      <c r="H16" t="s">
        <v>352</v>
      </c>
      <c r="I16" t="s">
        <v>886</v>
      </c>
      <c r="J16" t="s">
        <v>229</v>
      </c>
    </row>
    <row r="17" spans="4:10" x14ac:dyDescent="0.2">
      <c r="D17" t="s">
        <v>414</v>
      </c>
      <c r="E17" t="s">
        <v>418</v>
      </c>
      <c r="F17" t="s">
        <v>419</v>
      </c>
      <c r="G17" t="s">
        <v>420</v>
      </c>
      <c r="H17" t="s">
        <v>386</v>
      </c>
      <c r="I17" t="s">
        <v>119</v>
      </c>
      <c r="J17" t="s">
        <v>187</v>
      </c>
    </row>
    <row r="18" spans="4:10" x14ac:dyDescent="0.2">
      <c r="D18" t="s">
        <v>414</v>
      </c>
      <c r="E18" t="s">
        <v>421</v>
      </c>
      <c r="F18" t="s">
        <v>422</v>
      </c>
      <c r="G18" t="s">
        <v>423</v>
      </c>
      <c r="H18" t="s">
        <v>352</v>
      </c>
      <c r="I18" t="s">
        <v>112</v>
      </c>
      <c r="J18" s="150">
        <v>45788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sheetPr>
  <dimension ref="A3:BN38"/>
  <sheetViews>
    <sheetView showGridLines="0" workbookViewId="0">
      <selection activeCell="G11" sqref="G11"/>
    </sheetView>
  </sheetViews>
  <sheetFormatPr defaultRowHeight="15" x14ac:dyDescent="0.25"/>
  <cols>
    <col min="1" max="3" width="2.7109375" style="32" customWidth="1"/>
    <col min="4" max="4" width="55.85546875" bestFit="1" customWidth="1"/>
    <col min="5" max="5" width="30.7109375" customWidth="1"/>
    <col min="6" max="6" width="10.7109375" customWidth="1"/>
    <col min="7" max="7" width="10.42578125" style="1" customWidth="1"/>
    <col min="8" max="8" width="10.42578125" customWidth="1"/>
    <col min="9" max="9" width="2.7109375" customWidth="1"/>
    <col min="10" max="10" width="6.140625" hidden="1" customWidth="1"/>
    <col min="11" max="66" width="2.5703125" customWidth="1"/>
  </cols>
  <sheetData>
    <row r="3" spans="1:66" ht="25.5" customHeight="1" x14ac:dyDescent="0.35">
      <c r="E3" s="28" t="s">
        <v>424</v>
      </c>
      <c r="F3" s="29"/>
      <c r="G3" s="30"/>
      <c r="H3" s="31"/>
    </row>
    <row r="5" spans="1:66" ht="34.5" customHeight="1" thickBot="1" x14ac:dyDescent="0.3">
      <c r="A5" s="32" t="s">
        <v>425</v>
      </c>
      <c r="D5" s="96" t="s">
        <v>426</v>
      </c>
      <c r="E5" s="179" t="s">
        <v>427</v>
      </c>
      <c r="F5" s="180"/>
      <c r="G5" s="181">
        <v>45160</v>
      </c>
      <c r="H5" s="181"/>
    </row>
    <row r="6" spans="1:66" ht="30" customHeight="1" thickTop="1" thickBot="1" x14ac:dyDescent="0.3">
      <c r="A6" s="27" t="s">
        <v>428</v>
      </c>
      <c r="B6" s="27"/>
      <c r="C6" s="27"/>
      <c r="E6" s="179" t="s">
        <v>429</v>
      </c>
      <c r="F6" s="180"/>
      <c r="G6" s="33">
        <v>1</v>
      </c>
      <c r="K6" s="176">
        <f>K7</f>
        <v>45159</v>
      </c>
      <c r="L6" s="177"/>
      <c r="M6" s="177"/>
      <c r="N6" s="177"/>
      <c r="O6" s="177"/>
      <c r="P6" s="177"/>
      <c r="Q6" s="178"/>
      <c r="R6" s="176">
        <f>R7</f>
        <v>45166</v>
      </c>
      <c r="S6" s="177"/>
      <c r="T6" s="177"/>
      <c r="U6" s="177"/>
      <c r="V6" s="177"/>
      <c r="W6" s="177"/>
      <c r="X6" s="178"/>
      <c r="Y6" s="176">
        <f>Y7</f>
        <v>45173</v>
      </c>
      <c r="Z6" s="177"/>
      <c r="AA6" s="177"/>
      <c r="AB6" s="177"/>
      <c r="AC6" s="177"/>
      <c r="AD6" s="177"/>
      <c r="AE6" s="178"/>
      <c r="AF6" s="176">
        <f>AF7</f>
        <v>45180</v>
      </c>
      <c r="AG6" s="177"/>
      <c r="AH6" s="177"/>
      <c r="AI6" s="177"/>
      <c r="AJ6" s="177"/>
      <c r="AK6" s="177"/>
      <c r="AL6" s="178"/>
      <c r="AM6" s="176">
        <f>AM7</f>
        <v>45187</v>
      </c>
      <c r="AN6" s="177"/>
      <c r="AO6" s="177"/>
      <c r="AP6" s="177"/>
      <c r="AQ6" s="177"/>
      <c r="AR6" s="177"/>
      <c r="AS6" s="178"/>
      <c r="AT6" s="176">
        <f>AT7</f>
        <v>45194</v>
      </c>
      <c r="AU6" s="177"/>
      <c r="AV6" s="177"/>
      <c r="AW6" s="177"/>
      <c r="AX6" s="177"/>
      <c r="AY6" s="177"/>
      <c r="AZ6" s="178"/>
      <c r="BA6" s="176">
        <f>BA7</f>
        <v>45201</v>
      </c>
      <c r="BB6" s="177"/>
      <c r="BC6" s="177"/>
      <c r="BD6" s="177"/>
      <c r="BE6" s="177"/>
      <c r="BF6" s="177"/>
      <c r="BG6" s="178"/>
      <c r="BH6" s="176">
        <f>BH7</f>
        <v>45208</v>
      </c>
      <c r="BI6" s="177"/>
      <c r="BJ6" s="177"/>
      <c r="BK6" s="177"/>
      <c r="BL6" s="177"/>
      <c r="BM6" s="177"/>
      <c r="BN6" s="178"/>
    </row>
    <row r="7" spans="1:66" ht="15" customHeight="1" x14ac:dyDescent="0.25">
      <c r="A7" s="27" t="s">
        <v>430</v>
      </c>
      <c r="B7" s="27"/>
      <c r="C7" s="27"/>
      <c r="D7" s="34"/>
      <c r="E7" s="34"/>
      <c r="F7" s="34"/>
      <c r="G7" s="34"/>
      <c r="H7" s="34"/>
      <c r="I7" s="34"/>
      <c r="K7" s="35">
        <f>Início_do_projeto-WEEKDAY(Início_do_projeto,1)+2+7*(Semana_de_exibição-1)</f>
        <v>45159</v>
      </c>
      <c r="L7" s="36">
        <f>K7+1</f>
        <v>45160</v>
      </c>
      <c r="M7" s="36">
        <f t="shared" ref="M7:AZ7" si="0">L7+1</f>
        <v>45161</v>
      </c>
      <c r="N7" s="36">
        <f t="shared" si="0"/>
        <v>45162</v>
      </c>
      <c r="O7" s="36">
        <f t="shared" si="0"/>
        <v>45163</v>
      </c>
      <c r="P7" s="36">
        <f t="shared" si="0"/>
        <v>45164</v>
      </c>
      <c r="Q7" s="37">
        <f t="shared" si="0"/>
        <v>45165</v>
      </c>
      <c r="R7" s="35">
        <f>Q7+1</f>
        <v>45166</v>
      </c>
      <c r="S7" s="36">
        <f>R7+1</f>
        <v>45167</v>
      </c>
      <c r="T7" s="36">
        <f t="shared" si="0"/>
        <v>45168</v>
      </c>
      <c r="U7" s="36">
        <f t="shared" si="0"/>
        <v>45169</v>
      </c>
      <c r="V7" s="36">
        <f t="shared" si="0"/>
        <v>45170</v>
      </c>
      <c r="W7" s="36">
        <f t="shared" si="0"/>
        <v>45171</v>
      </c>
      <c r="X7" s="37">
        <f t="shared" si="0"/>
        <v>45172</v>
      </c>
      <c r="Y7" s="35">
        <f>X7+1</f>
        <v>45173</v>
      </c>
      <c r="Z7" s="36">
        <f>Y7+1</f>
        <v>45174</v>
      </c>
      <c r="AA7" s="36">
        <f t="shared" si="0"/>
        <v>45175</v>
      </c>
      <c r="AB7" s="36">
        <f t="shared" si="0"/>
        <v>45176</v>
      </c>
      <c r="AC7" s="36">
        <f t="shared" si="0"/>
        <v>45177</v>
      </c>
      <c r="AD7" s="36">
        <f t="shared" si="0"/>
        <v>45178</v>
      </c>
      <c r="AE7" s="37">
        <f t="shared" si="0"/>
        <v>45179</v>
      </c>
      <c r="AF7" s="35">
        <f>AE7+1</f>
        <v>45180</v>
      </c>
      <c r="AG7" s="36">
        <f>AF7+1</f>
        <v>45181</v>
      </c>
      <c r="AH7" s="36">
        <f t="shared" si="0"/>
        <v>45182</v>
      </c>
      <c r="AI7" s="36">
        <f t="shared" si="0"/>
        <v>45183</v>
      </c>
      <c r="AJ7" s="36">
        <f t="shared" si="0"/>
        <v>45184</v>
      </c>
      <c r="AK7" s="36">
        <f t="shared" si="0"/>
        <v>45185</v>
      </c>
      <c r="AL7" s="37">
        <f t="shared" si="0"/>
        <v>45186</v>
      </c>
      <c r="AM7" s="35">
        <f>AL7+1</f>
        <v>45187</v>
      </c>
      <c r="AN7" s="36">
        <f>AM7+1</f>
        <v>45188</v>
      </c>
      <c r="AO7" s="36">
        <f t="shared" si="0"/>
        <v>45189</v>
      </c>
      <c r="AP7" s="36">
        <f t="shared" si="0"/>
        <v>45190</v>
      </c>
      <c r="AQ7" s="36">
        <f t="shared" si="0"/>
        <v>45191</v>
      </c>
      <c r="AR7" s="36">
        <f t="shared" si="0"/>
        <v>45192</v>
      </c>
      <c r="AS7" s="37">
        <f t="shared" si="0"/>
        <v>45193</v>
      </c>
      <c r="AT7" s="35">
        <f>AS7+1</f>
        <v>45194</v>
      </c>
      <c r="AU7" s="36">
        <f>AT7+1</f>
        <v>45195</v>
      </c>
      <c r="AV7" s="36">
        <f t="shared" si="0"/>
        <v>45196</v>
      </c>
      <c r="AW7" s="36">
        <f t="shared" si="0"/>
        <v>45197</v>
      </c>
      <c r="AX7" s="36">
        <f t="shared" si="0"/>
        <v>45198</v>
      </c>
      <c r="AY7" s="36">
        <f t="shared" si="0"/>
        <v>45199</v>
      </c>
      <c r="AZ7" s="37">
        <f t="shared" si="0"/>
        <v>45200</v>
      </c>
      <c r="BA7" s="35">
        <f t="shared" ref="BA7:BN7" si="1">AZ7+1</f>
        <v>45201</v>
      </c>
      <c r="BB7" s="36">
        <f t="shared" si="1"/>
        <v>45202</v>
      </c>
      <c r="BC7" s="36">
        <f t="shared" si="1"/>
        <v>45203</v>
      </c>
      <c r="BD7" s="36">
        <f t="shared" si="1"/>
        <v>45204</v>
      </c>
      <c r="BE7" s="36">
        <f t="shared" si="1"/>
        <v>45205</v>
      </c>
      <c r="BF7" s="36">
        <f t="shared" si="1"/>
        <v>45206</v>
      </c>
      <c r="BG7" s="37">
        <f t="shared" si="1"/>
        <v>45207</v>
      </c>
      <c r="BH7" s="35">
        <f t="shared" si="1"/>
        <v>45208</v>
      </c>
      <c r="BI7" s="36">
        <f t="shared" si="1"/>
        <v>45209</v>
      </c>
      <c r="BJ7" s="36">
        <f t="shared" si="1"/>
        <v>45210</v>
      </c>
      <c r="BK7" s="36">
        <f t="shared" si="1"/>
        <v>45211</v>
      </c>
      <c r="BL7" s="36">
        <f t="shared" si="1"/>
        <v>45212</v>
      </c>
      <c r="BM7" s="36">
        <f t="shared" si="1"/>
        <v>45213</v>
      </c>
      <c r="BN7" s="37">
        <f t="shared" si="1"/>
        <v>45214</v>
      </c>
    </row>
    <row r="8" spans="1:66" ht="30" customHeight="1" thickBot="1" x14ac:dyDescent="0.3">
      <c r="A8" s="27" t="s">
        <v>431</v>
      </c>
      <c r="B8" s="27"/>
      <c r="C8" s="27"/>
      <c r="D8" s="38" t="s">
        <v>432</v>
      </c>
      <c r="E8" s="39" t="s">
        <v>433</v>
      </c>
      <c r="F8" s="39" t="s">
        <v>434</v>
      </c>
      <c r="G8" s="39" t="s">
        <v>435</v>
      </c>
      <c r="H8" s="39" t="s">
        <v>436</v>
      </c>
      <c r="I8" s="39"/>
      <c r="J8" s="39" t="s">
        <v>437</v>
      </c>
      <c r="K8" s="40" t="str">
        <f t="shared" ref="K8:BN8" si="2">LEFT(TEXT(K7,"ddd"),1)</f>
        <v>s</v>
      </c>
      <c r="L8" s="40" t="str">
        <f t="shared" si="2"/>
        <v>t</v>
      </c>
      <c r="M8" s="40" t="str">
        <f t="shared" si="2"/>
        <v>q</v>
      </c>
      <c r="N8" s="40" t="str">
        <f t="shared" si="2"/>
        <v>q</v>
      </c>
      <c r="O8" s="40" t="str">
        <f t="shared" si="2"/>
        <v>s</v>
      </c>
      <c r="P8" s="40" t="str">
        <f t="shared" si="2"/>
        <v>s</v>
      </c>
      <c r="Q8" s="40" t="str">
        <f t="shared" si="2"/>
        <v>d</v>
      </c>
      <c r="R8" s="40" t="str">
        <f t="shared" si="2"/>
        <v>s</v>
      </c>
      <c r="S8" s="40" t="str">
        <f t="shared" si="2"/>
        <v>t</v>
      </c>
      <c r="T8" s="40" t="str">
        <f t="shared" si="2"/>
        <v>q</v>
      </c>
      <c r="U8" s="40" t="str">
        <f t="shared" si="2"/>
        <v>q</v>
      </c>
      <c r="V8" s="40" t="str">
        <f t="shared" si="2"/>
        <v>s</v>
      </c>
      <c r="W8" s="40" t="str">
        <f t="shared" si="2"/>
        <v>s</v>
      </c>
      <c r="X8" s="40" t="str">
        <f t="shared" si="2"/>
        <v>d</v>
      </c>
      <c r="Y8" s="40" t="str">
        <f t="shared" si="2"/>
        <v>s</v>
      </c>
      <c r="Z8" s="40" t="str">
        <f t="shared" si="2"/>
        <v>t</v>
      </c>
      <c r="AA8" s="40" t="str">
        <f t="shared" si="2"/>
        <v>q</v>
      </c>
      <c r="AB8" s="40" t="str">
        <f t="shared" si="2"/>
        <v>q</v>
      </c>
      <c r="AC8" s="40" t="str">
        <f t="shared" si="2"/>
        <v>s</v>
      </c>
      <c r="AD8" s="40" t="str">
        <f t="shared" si="2"/>
        <v>s</v>
      </c>
      <c r="AE8" s="40" t="str">
        <f t="shared" si="2"/>
        <v>d</v>
      </c>
      <c r="AF8" s="40" t="str">
        <f t="shared" si="2"/>
        <v>s</v>
      </c>
      <c r="AG8" s="40" t="str">
        <f t="shared" si="2"/>
        <v>t</v>
      </c>
      <c r="AH8" s="40" t="str">
        <f t="shared" si="2"/>
        <v>q</v>
      </c>
      <c r="AI8" s="40" t="str">
        <f t="shared" si="2"/>
        <v>q</v>
      </c>
      <c r="AJ8" s="40" t="str">
        <f t="shared" si="2"/>
        <v>s</v>
      </c>
      <c r="AK8" s="40" t="str">
        <f t="shared" si="2"/>
        <v>s</v>
      </c>
      <c r="AL8" s="40" t="str">
        <f t="shared" si="2"/>
        <v>d</v>
      </c>
      <c r="AM8" s="40" t="str">
        <f t="shared" si="2"/>
        <v>s</v>
      </c>
      <c r="AN8" s="40" t="str">
        <f t="shared" si="2"/>
        <v>t</v>
      </c>
      <c r="AO8" s="40" t="str">
        <f t="shared" si="2"/>
        <v>q</v>
      </c>
      <c r="AP8" s="40" t="str">
        <f t="shared" si="2"/>
        <v>q</v>
      </c>
      <c r="AQ8" s="40" t="str">
        <f t="shared" si="2"/>
        <v>s</v>
      </c>
      <c r="AR8" s="40" t="str">
        <f t="shared" si="2"/>
        <v>s</v>
      </c>
      <c r="AS8" s="40" t="str">
        <f t="shared" si="2"/>
        <v>d</v>
      </c>
      <c r="AT8" s="40" t="str">
        <f t="shared" si="2"/>
        <v>s</v>
      </c>
      <c r="AU8" s="40" t="str">
        <f t="shared" si="2"/>
        <v>t</v>
      </c>
      <c r="AV8" s="40" t="str">
        <f t="shared" si="2"/>
        <v>q</v>
      </c>
      <c r="AW8" s="40" t="str">
        <f t="shared" si="2"/>
        <v>q</v>
      </c>
      <c r="AX8" s="40" t="str">
        <f t="shared" si="2"/>
        <v>s</v>
      </c>
      <c r="AY8" s="40" t="str">
        <f t="shared" si="2"/>
        <v>s</v>
      </c>
      <c r="AZ8" s="40" t="str">
        <f t="shared" si="2"/>
        <v>d</v>
      </c>
      <c r="BA8" s="40" t="str">
        <f t="shared" si="2"/>
        <v>s</v>
      </c>
      <c r="BB8" s="40" t="str">
        <f t="shared" si="2"/>
        <v>t</v>
      </c>
      <c r="BC8" s="40" t="str">
        <f t="shared" si="2"/>
        <v>q</v>
      </c>
      <c r="BD8" s="40" t="str">
        <f t="shared" si="2"/>
        <v>q</v>
      </c>
      <c r="BE8" s="40" t="str">
        <f t="shared" si="2"/>
        <v>s</v>
      </c>
      <c r="BF8" s="40" t="str">
        <f t="shared" si="2"/>
        <v>s</v>
      </c>
      <c r="BG8" s="40" t="str">
        <f t="shared" si="2"/>
        <v>d</v>
      </c>
      <c r="BH8" s="40" t="str">
        <f t="shared" si="2"/>
        <v>s</v>
      </c>
      <c r="BI8" s="40" t="str">
        <f t="shared" si="2"/>
        <v>t</v>
      </c>
      <c r="BJ8" s="40" t="str">
        <f t="shared" si="2"/>
        <v>q</v>
      </c>
      <c r="BK8" s="40" t="str">
        <f t="shared" si="2"/>
        <v>q</v>
      </c>
      <c r="BL8" s="40" t="str">
        <f t="shared" si="2"/>
        <v>s</v>
      </c>
      <c r="BM8" s="40" t="str">
        <f t="shared" si="2"/>
        <v>s</v>
      </c>
      <c r="BN8" s="40" t="str">
        <f t="shared" si="2"/>
        <v>d</v>
      </c>
    </row>
    <row r="9" spans="1:66" ht="30" hidden="1" customHeight="1" x14ac:dyDescent="0.25">
      <c r="A9" s="32" t="s">
        <v>438</v>
      </c>
      <c r="E9" s="41"/>
      <c r="G9"/>
      <c r="J9">
        <f>IF(OR(ISBLANK(início_da_tarefa),ISBLANK(término_da_tarefa)),"",término_da_tarefa-início_da_tarefa+1)</f>
        <v>4</v>
      </c>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row>
    <row r="10" spans="1:66" s="13" customFormat="1" ht="30" customHeight="1" thickBot="1" x14ac:dyDescent="0.3">
      <c r="A10" s="27" t="s">
        <v>439</v>
      </c>
      <c r="B10" s="27"/>
      <c r="C10" s="27"/>
      <c r="D10" s="43" t="s">
        <v>12</v>
      </c>
      <c r="E10" s="44"/>
      <c r="F10" s="45"/>
      <c r="G10" s="46"/>
      <c r="H10" s="47"/>
      <c r="I10" s="48"/>
      <c r="J10" s="48">
        <f t="shared" ref="J10:J35" si="3">IF(OR(ISBLANK(início_da_tarefa),ISBLANK(término_da_tarefa)),"",término_da_tarefa-início_da_tarefa+1)</f>
        <v>3</v>
      </c>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row>
    <row r="11" spans="1:66" s="13" customFormat="1" ht="30" customHeight="1" thickBot="1" x14ac:dyDescent="0.3">
      <c r="A11" s="27" t="s">
        <v>440</v>
      </c>
      <c r="B11" s="27"/>
      <c r="C11" s="27"/>
      <c r="D11" s="49" t="s">
        <v>441</v>
      </c>
      <c r="E11" s="50"/>
      <c r="F11" s="51"/>
      <c r="G11" s="52">
        <f>Início_do_projeto</f>
        <v>45160</v>
      </c>
      <c r="H11" s="52">
        <f>G11+3</f>
        <v>45163</v>
      </c>
      <c r="I11" s="48"/>
      <c r="J11" s="48">
        <f t="shared" si="3"/>
        <v>5</v>
      </c>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row>
    <row r="12" spans="1:66" s="13" customFormat="1" ht="30" customHeight="1" thickBot="1" x14ac:dyDescent="0.3">
      <c r="A12" s="27" t="s">
        <v>442</v>
      </c>
      <c r="B12" s="27"/>
      <c r="C12" s="27"/>
      <c r="D12" s="49" t="s">
        <v>443</v>
      </c>
      <c r="E12" s="50"/>
      <c r="F12" s="51"/>
      <c r="G12" s="52"/>
      <c r="H12" s="52"/>
      <c r="I12" s="48"/>
      <c r="J12" s="48">
        <f t="shared" si="3"/>
        <v>6</v>
      </c>
      <c r="K12" s="42"/>
      <c r="L12" s="42"/>
      <c r="M12" s="42"/>
      <c r="N12" s="42"/>
      <c r="O12" s="42"/>
      <c r="P12" s="42"/>
      <c r="Q12" s="42"/>
      <c r="R12" s="42"/>
      <c r="S12" s="42"/>
      <c r="T12" s="42"/>
      <c r="U12" s="42"/>
      <c r="V12" s="42"/>
      <c r="W12" s="53"/>
      <c r="X12" s="53"/>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row>
    <row r="13" spans="1:66" s="13" customFormat="1" ht="30" customHeight="1" thickBot="1" x14ac:dyDescent="0.3">
      <c r="A13" s="32"/>
      <c r="B13" s="32"/>
      <c r="C13" s="32"/>
      <c r="D13" s="49" t="s">
        <v>444</v>
      </c>
      <c r="E13" s="50"/>
      <c r="F13" s="51"/>
      <c r="G13" s="52"/>
      <c r="H13" s="52"/>
      <c r="I13" s="48"/>
      <c r="J13" s="48">
        <f t="shared" si="3"/>
        <v>3</v>
      </c>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row>
    <row r="14" spans="1:66" s="13" customFormat="1" ht="30" customHeight="1" thickBot="1" x14ac:dyDescent="0.3">
      <c r="A14" s="32"/>
      <c r="B14" s="32"/>
      <c r="C14" s="32"/>
      <c r="D14" s="49" t="s">
        <v>445</v>
      </c>
      <c r="E14" s="50"/>
      <c r="F14" s="51"/>
      <c r="G14" s="52"/>
      <c r="H14" s="52"/>
      <c r="I14" s="48"/>
      <c r="J14" s="48" t="str">
        <f t="shared" si="3"/>
        <v/>
      </c>
      <c r="K14" s="42"/>
      <c r="L14" s="42"/>
      <c r="M14" s="42"/>
      <c r="N14" s="42"/>
      <c r="O14" s="42"/>
      <c r="P14" s="42"/>
      <c r="Q14" s="42"/>
      <c r="R14" s="42"/>
      <c r="S14" s="42"/>
      <c r="T14" s="42"/>
      <c r="U14" s="42"/>
      <c r="V14" s="42"/>
      <c r="W14" s="42"/>
      <c r="X14" s="42"/>
      <c r="Y14" s="42"/>
      <c r="Z14" s="42"/>
      <c r="AA14" s="53"/>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row>
    <row r="15" spans="1:66" s="13" customFormat="1" ht="30" customHeight="1" thickBot="1" x14ac:dyDescent="0.3">
      <c r="A15" s="32"/>
      <c r="B15" s="32"/>
      <c r="C15" s="32"/>
      <c r="D15" s="49" t="s">
        <v>446</v>
      </c>
      <c r="E15" s="50"/>
      <c r="F15" s="51"/>
      <c r="G15" s="52"/>
      <c r="H15" s="52"/>
      <c r="I15" s="48"/>
      <c r="J15" s="48">
        <f t="shared" si="3"/>
        <v>5</v>
      </c>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row>
    <row r="16" spans="1:66" s="13" customFormat="1" ht="30" customHeight="1" thickBot="1" x14ac:dyDescent="0.3">
      <c r="A16" s="27" t="s">
        <v>447</v>
      </c>
      <c r="B16" s="27"/>
      <c r="C16" s="27"/>
      <c r="D16" s="54" t="s">
        <v>448</v>
      </c>
      <c r="E16" s="55"/>
      <c r="F16" s="56"/>
      <c r="G16" s="57"/>
      <c r="H16" s="58"/>
      <c r="I16" s="48"/>
      <c r="J16" s="48">
        <f t="shared" si="3"/>
        <v>6</v>
      </c>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row>
    <row r="17" spans="1:66" s="13" customFormat="1" ht="30" customHeight="1" thickBot="1" x14ac:dyDescent="0.3">
      <c r="A17" s="27"/>
      <c r="B17" s="27"/>
      <c r="C17" s="27"/>
      <c r="D17" s="59" t="s">
        <v>449</v>
      </c>
      <c r="E17" s="60"/>
      <c r="F17" s="61"/>
      <c r="G17" s="62"/>
      <c r="H17" s="62"/>
      <c r="I17" s="48"/>
      <c r="J17" s="48">
        <f t="shared" si="3"/>
        <v>4</v>
      </c>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row>
    <row r="18" spans="1:66" s="13" customFormat="1" ht="30" customHeight="1" thickBot="1" x14ac:dyDescent="0.3">
      <c r="A18" s="32"/>
      <c r="B18" s="32"/>
      <c r="C18" s="32"/>
      <c r="D18" s="59" t="s">
        <v>443</v>
      </c>
      <c r="E18" s="60"/>
      <c r="F18" s="61"/>
      <c r="G18" s="62"/>
      <c r="H18" s="62"/>
      <c r="I18" s="48"/>
      <c r="J18" s="48">
        <f t="shared" si="3"/>
        <v>3</v>
      </c>
      <c r="K18" s="42"/>
      <c r="L18" s="42"/>
      <c r="M18" s="42"/>
      <c r="N18" s="42"/>
      <c r="O18" s="42"/>
      <c r="P18" s="42"/>
      <c r="Q18" s="42"/>
      <c r="R18" s="42"/>
      <c r="S18" s="42"/>
      <c r="T18" s="42"/>
      <c r="U18" s="42"/>
      <c r="V18" s="42"/>
      <c r="W18" s="53"/>
      <c r="X18" s="53"/>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row>
    <row r="19" spans="1:66" s="13" customFormat="1" ht="30" customHeight="1" thickBot="1" x14ac:dyDescent="0.3">
      <c r="A19" s="32"/>
      <c r="B19" s="32"/>
      <c r="C19" s="32"/>
      <c r="D19" s="59" t="s">
        <v>444</v>
      </c>
      <c r="E19" s="60"/>
      <c r="F19" s="61"/>
      <c r="G19" s="62"/>
      <c r="H19" s="62"/>
      <c r="I19" s="48"/>
      <c r="J19" s="48">
        <f t="shared" si="3"/>
        <v>4</v>
      </c>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row>
    <row r="20" spans="1:66" s="13" customFormat="1" ht="30" customHeight="1" thickBot="1" x14ac:dyDescent="0.3">
      <c r="A20" s="32"/>
      <c r="B20" s="32"/>
      <c r="C20" s="32"/>
      <c r="D20" s="59" t="s">
        <v>445</v>
      </c>
      <c r="E20" s="60"/>
      <c r="F20" s="61"/>
      <c r="G20" s="62"/>
      <c r="H20" s="62"/>
      <c r="I20" s="48"/>
      <c r="J20" s="48" t="str">
        <f t="shared" si="3"/>
        <v/>
      </c>
      <c r="K20" s="42"/>
      <c r="L20" s="42"/>
      <c r="M20" s="42"/>
      <c r="N20" s="42"/>
      <c r="O20" s="42"/>
      <c r="P20" s="42"/>
      <c r="Q20" s="42"/>
      <c r="R20" s="42"/>
      <c r="S20" s="42"/>
      <c r="T20" s="42"/>
      <c r="U20" s="42"/>
      <c r="V20" s="42"/>
      <c r="W20" s="42"/>
      <c r="X20" s="42"/>
      <c r="Y20" s="42"/>
      <c r="Z20" s="42"/>
      <c r="AA20" s="53"/>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row>
    <row r="21" spans="1:66" s="13" customFormat="1" ht="30" customHeight="1" thickBot="1" x14ac:dyDescent="0.3">
      <c r="A21" s="32"/>
      <c r="B21" s="32"/>
      <c r="C21" s="32"/>
      <c r="D21" s="59" t="s">
        <v>446</v>
      </c>
      <c r="E21" s="60"/>
      <c r="F21" s="61"/>
      <c r="G21" s="62"/>
      <c r="H21" s="62"/>
      <c r="I21" s="48"/>
      <c r="J21" s="48">
        <f t="shared" si="3"/>
        <v>6</v>
      </c>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c r="BM21" s="42"/>
      <c r="BN21" s="42"/>
    </row>
    <row r="22" spans="1:66" s="13" customFormat="1" ht="30" customHeight="1" thickBot="1" x14ac:dyDescent="0.3">
      <c r="A22" s="32" t="s">
        <v>450</v>
      </c>
      <c r="B22" s="32"/>
      <c r="C22" s="32"/>
      <c r="D22" s="63" t="s">
        <v>451</v>
      </c>
      <c r="E22" s="64"/>
      <c r="F22" s="65"/>
      <c r="G22" s="66"/>
      <c r="H22" s="67"/>
      <c r="I22" s="48"/>
      <c r="J22" s="48">
        <f t="shared" si="3"/>
        <v>5</v>
      </c>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row>
    <row r="23" spans="1:66" s="13" customFormat="1" ht="30" customHeight="1" thickBot="1" x14ac:dyDescent="0.3">
      <c r="A23" s="32"/>
      <c r="B23" s="32"/>
      <c r="C23" s="32"/>
      <c r="D23" s="68" t="s">
        <v>449</v>
      </c>
      <c r="E23" s="69"/>
      <c r="F23" s="70"/>
      <c r="G23" s="71"/>
      <c r="H23" s="71"/>
      <c r="I23" s="48"/>
      <c r="J23" s="48">
        <f t="shared" si="3"/>
        <v>6</v>
      </c>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c r="BN23" s="42"/>
    </row>
    <row r="24" spans="1:66" s="13" customFormat="1" ht="30" customHeight="1" thickBot="1" x14ac:dyDescent="0.3">
      <c r="A24" s="32"/>
      <c r="B24" s="32"/>
      <c r="C24" s="32"/>
      <c r="D24" s="68" t="s">
        <v>443</v>
      </c>
      <c r="E24" s="69"/>
      <c r="F24" s="70"/>
      <c r="G24" s="71"/>
      <c r="H24" s="71"/>
      <c r="I24" s="48"/>
      <c r="J24" s="48">
        <f t="shared" si="3"/>
        <v>5</v>
      </c>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row>
    <row r="25" spans="1:66" s="13" customFormat="1" ht="30" customHeight="1" thickBot="1" x14ac:dyDescent="0.3">
      <c r="A25" s="32"/>
      <c r="B25" s="32"/>
      <c r="C25" s="32"/>
      <c r="D25" s="68" t="s">
        <v>444</v>
      </c>
      <c r="E25" s="69"/>
      <c r="F25" s="70"/>
      <c r="G25" s="71"/>
      <c r="H25" s="71"/>
      <c r="I25" s="48"/>
      <c r="J25" s="48">
        <f t="shared" si="3"/>
        <v>5</v>
      </c>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c r="BM25" s="42"/>
      <c r="BN25" s="42"/>
    </row>
    <row r="26" spans="1:66" s="13" customFormat="1" ht="30" customHeight="1" thickBot="1" x14ac:dyDescent="0.3">
      <c r="A26" s="32"/>
      <c r="B26" s="32"/>
      <c r="C26" s="32"/>
      <c r="D26" s="68" t="s">
        <v>445</v>
      </c>
      <c r="E26" s="69"/>
      <c r="F26" s="70"/>
      <c r="G26" s="71"/>
      <c r="H26" s="71"/>
      <c r="I26" s="48"/>
      <c r="J26" s="48" t="str">
        <f t="shared" si="3"/>
        <v/>
      </c>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row>
    <row r="27" spans="1:66" s="13" customFormat="1" ht="30" customHeight="1" thickBot="1" x14ac:dyDescent="0.3">
      <c r="A27" s="32"/>
      <c r="B27" s="32"/>
      <c r="C27" s="32"/>
      <c r="D27" s="68" t="s">
        <v>446</v>
      </c>
      <c r="E27" s="69"/>
      <c r="F27" s="70"/>
      <c r="G27" s="71"/>
      <c r="H27" s="71"/>
      <c r="I27" s="48"/>
      <c r="J27" s="48" t="e">
        <f t="shared" si="3"/>
        <v>#VALUE!</v>
      </c>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c r="BM27" s="42"/>
      <c r="BN27" s="42"/>
    </row>
    <row r="28" spans="1:66" s="13" customFormat="1" ht="30" customHeight="1" thickBot="1" x14ac:dyDescent="0.3">
      <c r="A28" s="32" t="s">
        <v>450</v>
      </c>
      <c r="B28" s="32"/>
      <c r="C28" s="32"/>
      <c r="D28" s="72" t="s">
        <v>452</v>
      </c>
      <c r="E28" s="73"/>
      <c r="F28" s="74"/>
      <c r="G28" s="75"/>
      <c r="H28" s="76"/>
      <c r="I28" s="48"/>
      <c r="J28" s="48" t="e">
        <f t="shared" si="3"/>
        <v>#VALUE!</v>
      </c>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row>
    <row r="29" spans="1:66" s="13" customFormat="1" ht="30" customHeight="1" thickBot="1" x14ac:dyDescent="0.3">
      <c r="A29" s="32"/>
      <c r="B29" s="32"/>
      <c r="C29" s="32"/>
      <c r="D29" s="77" t="s">
        <v>449</v>
      </c>
      <c r="E29" s="78"/>
      <c r="F29" s="79"/>
      <c r="G29" s="80" t="s">
        <v>453</v>
      </c>
      <c r="H29" s="80" t="s">
        <v>453</v>
      </c>
      <c r="I29" s="48"/>
      <c r="J29" s="48" t="e">
        <f t="shared" si="3"/>
        <v>#VALUE!</v>
      </c>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c r="BM29" s="42"/>
      <c r="BN29" s="42"/>
    </row>
    <row r="30" spans="1:66" s="13" customFormat="1" ht="30" customHeight="1" thickBot="1" x14ac:dyDescent="0.3">
      <c r="A30" s="32"/>
      <c r="B30" s="32"/>
      <c r="C30" s="32"/>
      <c r="D30" s="77" t="s">
        <v>443</v>
      </c>
      <c r="E30" s="78"/>
      <c r="F30" s="79"/>
      <c r="G30" s="80" t="s">
        <v>453</v>
      </c>
      <c r="H30" s="80" t="s">
        <v>453</v>
      </c>
      <c r="I30" s="48"/>
      <c r="J30" s="48" t="e">
        <f t="shared" si="3"/>
        <v>#VALUE!</v>
      </c>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42"/>
      <c r="BL30" s="42"/>
      <c r="BM30" s="42"/>
      <c r="BN30" s="42"/>
    </row>
    <row r="31" spans="1:66" s="13" customFormat="1" ht="30" customHeight="1" thickBot="1" x14ac:dyDescent="0.3">
      <c r="A31" s="32"/>
      <c r="B31" s="32"/>
      <c r="C31" s="32"/>
      <c r="D31" s="77" t="s">
        <v>444</v>
      </c>
      <c r="E31" s="78"/>
      <c r="F31" s="79"/>
      <c r="G31" s="80" t="s">
        <v>453</v>
      </c>
      <c r="H31" s="80" t="s">
        <v>453</v>
      </c>
      <c r="I31" s="48"/>
      <c r="J31" s="48" t="e">
        <f t="shared" si="3"/>
        <v>#VALUE!</v>
      </c>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c r="BM31" s="42"/>
      <c r="BN31" s="42"/>
    </row>
    <row r="32" spans="1:66" s="13" customFormat="1" ht="30" customHeight="1" thickBot="1" x14ac:dyDescent="0.3">
      <c r="A32" s="32"/>
      <c r="B32" s="32"/>
      <c r="C32" s="32"/>
      <c r="D32" s="77" t="s">
        <v>445</v>
      </c>
      <c r="E32" s="78"/>
      <c r="F32" s="79"/>
      <c r="G32" s="80" t="s">
        <v>453</v>
      </c>
      <c r="H32" s="80" t="s">
        <v>453</v>
      </c>
      <c r="I32" s="48"/>
      <c r="J32" s="48" t="str">
        <f t="shared" si="3"/>
        <v/>
      </c>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c r="BM32" s="42"/>
      <c r="BN32" s="42"/>
    </row>
    <row r="33" spans="1:66" s="13" customFormat="1" ht="30" customHeight="1" thickBot="1" x14ac:dyDescent="0.3">
      <c r="A33" s="32"/>
      <c r="B33" s="32"/>
      <c r="C33" s="32"/>
      <c r="D33" s="77" t="s">
        <v>446</v>
      </c>
      <c r="E33" s="78"/>
      <c r="F33" s="79"/>
      <c r="G33" s="80" t="s">
        <v>453</v>
      </c>
      <c r="H33" s="80" t="s">
        <v>453</v>
      </c>
      <c r="I33" s="48"/>
      <c r="J33" s="48" t="str">
        <f t="shared" si="3"/>
        <v/>
      </c>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42"/>
      <c r="BL33" s="42"/>
      <c r="BM33" s="42"/>
      <c r="BN33" s="42"/>
    </row>
    <row r="34" spans="1:66" s="13" customFormat="1" ht="30" customHeight="1" thickBot="1" x14ac:dyDescent="0.3">
      <c r="A34" s="32" t="s">
        <v>454</v>
      </c>
      <c r="B34" s="32"/>
      <c r="C34" s="32"/>
      <c r="D34" s="81"/>
      <c r="E34" s="82"/>
      <c r="F34" s="83"/>
      <c r="G34" s="84"/>
      <c r="H34" s="84"/>
      <c r="I34" s="48"/>
      <c r="J34" s="48" t="str">
        <f t="shared" si="3"/>
        <v/>
      </c>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c r="BI34" s="42"/>
      <c r="BJ34" s="42"/>
      <c r="BK34" s="42"/>
      <c r="BL34" s="42"/>
      <c r="BM34" s="42"/>
      <c r="BN34" s="42"/>
    </row>
    <row r="35" spans="1:66" s="13" customFormat="1" ht="30" customHeight="1" thickBot="1" x14ac:dyDescent="0.3">
      <c r="A35" s="27" t="s">
        <v>455</v>
      </c>
      <c r="B35" s="27"/>
      <c r="C35" s="27"/>
      <c r="D35" s="85" t="s">
        <v>456</v>
      </c>
      <c r="E35" s="86"/>
      <c r="F35" s="87"/>
      <c r="G35" s="88"/>
      <c r="H35" s="89"/>
      <c r="I35" s="90"/>
      <c r="J35" s="90" t="str">
        <f t="shared" si="3"/>
        <v/>
      </c>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row>
    <row r="36" spans="1:66" ht="30" customHeight="1" x14ac:dyDescent="0.25">
      <c r="I36" s="92"/>
    </row>
    <row r="37" spans="1:66" ht="30" customHeight="1" x14ac:dyDescent="0.25">
      <c r="E37" s="93"/>
      <c r="H37" s="94"/>
    </row>
    <row r="38" spans="1:66" ht="30" customHeight="1" x14ac:dyDescent="0.25">
      <c r="E38" s="95"/>
    </row>
  </sheetData>
  <mergeCells count="11">
    <mergeCell ref="BH6:BN6"/>
    <mergeCell ref="E5:F5"/>
    <mergeCell ref="G5:H5"/>
    <mergeCell ref="E6:F6"/>
    <mergeCell ref="K6:Q6"/>
    <mergeCell ref="R6:X6"/>
    <mergeCell ref="Y6:AE6"/>
    <mergeCell ref="AF6:AL6"/>
    <mergeCell ref="AM6:AS6"/>
    <mergeCell ref="AT6:AZ6"/>
    <mergeCell ref="BA6:BG6"/>
  </mergeCells>
  <conditionalFormatting sqref="F9:F35">
    <cfRule type="dataBar" priority="1">
      <dataBar>
        <cfvo type="num" val="0"/>
        <cfvo type="num" val="1"/>
        <color theme="0" tint="-0.249977111117893"/>
      </dataBar>
      <extLst>
        <ext xmlns:x14="http://schemas.microsoft.com/office/spreadsheetml/2009/9/main" uri="{B025F937-C7B1-47D3-B67F-A62EFF666E3E}">
          <x14:id>{4003E10C-E673-4E41-B882-DC6B3C1EA88B}</x14:id>
        </ext>
      </extLst>
    </cfRule>
  </conditionalFormatting>
  <conditionalFormatting sqref="K7:BN35">
    <cfRule type="expression" dxfId="8" priority="4">
      <formula>AND(TODAY()&gt;=K$7,TODAY()&lt;L$7)</formula>
    </cfRule>
  </conditionalFormatting>
  <conditionalFormatting sqref="K9:BN35">
    <cfRule type="expression" dxfId="7" priority="2">
      <formula>AND(início_da_tarefa&lt;=K$7,ROUNDDOWN((término_da_tarefa-início_da_tarefa+1)*progresso_da_tarefa,0)+início_da_tarefa-1&gt;=K$7)</formula>
    </cfRule>
    <cfRule type="expression" dxfId="6" priority="3" stopIfTrue="1">
      <formula>AND(término_da_tarefa&gt;=K$7,início_da_tarefa&lt;L$7)</formula>
    </cfRule>
  </conditionalFormatting>
  <dataValidations count="1">
    <dataValidation type="whole" operator="greaterThanOrEqual" allowBlank="1" showInputMessage="1" promptTitle="Semana de exibição" prompt="Alterar esse número rola a exibição do Gráfico de Gantt." sqref="G6" xr:uid="{00000000-0002-0000-0500-000000000000}">
      <formula1>1</formula1>
    </dataValidation>
  </dataValidations>
  <pageMargins left="0.511811024" right="0.511811024" top="0.78740157499999996" bottom="0.78740157499999996" header="0.31496062000000002" footer="0.31496062000000002"/>
  <drawing r:id="rId1"/>
  <extLst>
    <ext xmlns:x14="http://schemas.microsoft.com/office/spreadsheetml/2009/9/main" uri="{78C0D931-6437-407d-A8EE-F0AAD7539E65}">
      <x14:conditionalFormattings>
        <x14:conditionalFormatting xmlns:xm="http://schemas.microsoft.com/office/excel/2006/main">
          <x14:cfRule type="dataBar" id="{4003E10C-E673-4E41-B882-DC6B3C1EA88B}">
            <x14:dataBar minLength="0" maxLength="100" negativeBarColorSameAsPositive="1" axisPosition="none">
              <x14:cfvo type="num">
                <xm:f>0</xm:f>
              </x14:cfvo>
              <x14:cfvo type="num">
                <xm:f>1</xm:f>
              </x14:cfvo>
            </x14:dataBar>
          </x14:cfRule>
          <xm:sqref>F9:F35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E55"/>
  <sheetViews>
    <sheetView workbookViewId="0">
      <selection activeCell="A3" sqref="A3:E55"/>
    </sheetView>
  </sheetViews>
  <sheetFormatPr defaultRowHeight="12.75" x14ac:dyDescent="0.2"/>
  <cols>
    <col min="1" max="1" width="14" bestFit="1" customWidth="1"/>
    <col min="2" max="2" width="25.5703125" customWidth="1"/>
    <col min="3" max="3" width="55" customWidth="1"/>
    <col min="4" max="4" width="6.140625" bestFit="1" customWidth="1"/>
    <col min="5" max="5" width="7" bestFit="1" customWidth="1"/>
    <col min="6" max="49" width="105.42578125" bestFit="1" customWidth="1"/>
    <col min="50" max="50" width="10" bestFit="1" customWidth="1"/>
  </cols>
  <sheetData>
    <row r="3" spans="1:5" x14ac:dyDescent="0.2">
      <c r="A3" s="21" t="s">
        <v>457</v>
      </c>
      <c r="B3" s="20"/>
      <c r="C3" s="20"/>
      <c r="D3" s="20"/>
      <c r="E3" s="23"/>
    </row>
    <row r="4" spans="1:5" x14ac:dyDescent="0.2">
      <c r="A4" s="21" t="s">
        <v>2</v>
      </c>
      <c r="B4" s="21" t="s">
        <v>6</v>
      </c>
      <c r="C4" s="21" t="s">
        <v>1</v>
      </c>
      <c r="D4" s="21" t="s">
        <v>0</v>
      </c>
      <c r="E4" s="23" t="s">
        <v>458</v>
      </c>
    </row>
    <row r="5" spans="1:5" x14ac:dyDescent="0.2">
      <c r="A5" s="19" t="s">
        <v>8</v>
      </c>
      <c r="B5" s="19" t="s">
        <v>10</v>
      </c>
      <c r="C5" s="19" t="s">
        <v>441</v>
      </c>
      <c r="D5" s="19" t="s">
        <v>8</v>
      </c>
      <c r="E5" s="23">
        <v>1000</v>
      </c>
    </row>
    <row r="6" spans="1:5" x14ac:dyDescent="0.2">
      <c r="A6" s="25"/>
      <c r="B6" s="25"/>
      <c r="C6" s="19" t="s">
        <v>459</v>
      </c>
      <c r="D6" s="19" t="s">
        <v>15</v>
      </c>
      <c r="E6" s="23">
        <v>1000</v>
      </c>
    </row>
    <row r="7" spans="1:5" x14ac:dyDescent="0.2">
      <c r="A7" s="25"/>
      <c r="B7" s="25"/>
      <c r="C7" s="19" t="s">
        <v>460</v>
      </c>
      <c r="D7" s="19" t="s">
        <v>13</v>
      </c>
      <c r="E7" s="23">
        <v>2000</v>
      </c>
    </row>
    <row r="8" spans="1:5" x14ac:dyDescent="0.2">
      <c r="A8" s="19" t="s">
        <v>15</v>
      </c>
      <c r="B8" s="19" t="s">
        <v>461</v>
      </c>
      <c r="C8" s="19" t="s">
        <v>462</v>
      </c>
      <c r="D8" s="19" t="s">
        <v>25</v>
      </c>
      <c r="E8" s="23">
        <v>2000</v>
      </c>
    </row>
    <row r="9" spans="1:5" x14ac:dyDescent="0.2">
      <c r="A9" s="25"/>
      <c r="B9" s="19" t="s">
        <v>10</v>
      </c>
      <c r="C9" s="19" t="s">
        <v>463</v>
      </c>
      <c r="D9" s="19" t="s">
        <v>20</v>
      </c>
      <c r="E9" s="23">
        <v>700</v>
      </c>
    </row>
    <row r="10" spans="1:5" x14ac:dyDescent="0.2">
      <c r="A10" s="25"/>
      <c r="B10" s="19" t="s">
        <v>464</v>
      </c>
      <c r="C10" s="19" t="s">
        <v>14</v>
      </c>
      <c r="D10" s="19">
        <v>2</v>
      </c>
      <c r="E10" s="23"/>
    </row>
    <row r="11" spans="1:5" x14ac:dyDescent="0.2">
      <c r="A11" s="19" t="s">
        <v>46</v>
      </c>
      <c r="B11" s="19" t="s">
        <v>465</v>
      </c>
      <c r="C11" s="19" t="s">
        <v>466</v>
      </c>
      <c r="D11" s="19" t="s">
        <v>46</v>
      </c>
      <c r="E11" s="23">
        <v>4000</v>
      </c>
    </row>
    <row r="12" spans="1:5" x14ac:dyDescent="0.2">
      <c r="A12" s="19" t="s">
        <v>47</v>
      </c>
      <c r="B12" s="19" t="s">
        <v>467</v>
      </c>
      <c r="C12" s="19" t="s">
        <v>468</v>
      </c>
      <c r="D12" s="19" t="s">
        <v>47</v>
      </c>
      <c r="E12" s="23">
        <v>1000</v>
      </c>
    </row>
    <row r="13" spans="1:5" x14ac:dyDescent="0.2">
      <c r="A13" s="19" t="s">
        <v>48</v>
      </c>
      <c r="B13" s="19" t="s">
        <v>467</v>
      </c>
      <c r="C13" s="19" t="s">
        <v>469</v>
      </c>
      <c r="D13" s="19" t="s">
        <v>48</v>
      </c>
      <c r="E13" s="23">
        <v>1000</v>
      </c>
    </row>
    <row r="14" spans="1:5" x14ac:dyDescent="0.2">
      <c r="A14" s="19" t="s">
        <v>18</v>
      </c>
      <c r="B14" s="19" t="s">
        <v>10</v>
      </c>
      <c r="C14" s="19" t="s">
        <v>470</v>
      </c>
      <c r="D14" s="19" t="s">
        <v>18</v>
      </c>
      <c r="E14" s="23">
        <v>2000</v>
      </c>
    </row>
    <row r="15" spans="1:5" x14ac:dyDescent="0.2">
      <c r="A15" s="19" t="s">
        <v>20</v>
      </c>
      <c r="B15" s="19" t="s">
        <v>10</v>
      </c>
      <c r="C15" s="19" t="s">
        <v>471</v>
      </c>
      <c r="D15" s="19" t="s">
        <v>22</v>
      </c>
      <c r="E15" s="23">
        <v>400</v>
      </c>
    </row>
    <row r="16" spans="1:5" x14ac:dyDescent="0.2">
      <c r="A16" s="25"/>
      <c r="B16" s="25"/>
      <c r="C16" s="19" t="s">
        <v>472</v>
      </c>
      <c r="D16" s="19" t="s">
        <v>473</v>
      </c>
      <c r="E16" s="23">
        <v>500</v>
      </c>
    </row>
    <row r="17" spans="1:5" x14ac:dyDescent="0.2">
      <c r="A17" s="25"/>
      <c r="B17" s="25"/>
      <c r="C17" s="19" t="s">
        <v>19</v>
      </c>
      <c r="D17" s="19" t="s">
        <v>474</v>
      </c>
      <c r="E17" s="23">
        <v>200</v>
      </c>
    </row>
    <row r="18" spans="1:5" x14ac:dyDescent="0.2">
      <c r="A18" s="25"/>
      <c r="B18" s="25"/>
      <c r="C18" s="19" t="s">
        <v>475</v>
      </c>
      <c r="D18" s="19" t="s">
        <v>476</v>
      </c>
      <c r="E18" s="23">
        <v>800</v>
      </c>
    </row>
    <row r="19" spans="1:5" x14ac:dyDescent="0.2">
      <c r="A19" s="25"/>
      <c r="B19" s="25"/>
      <c r="C19" s="19" t="s">
        <v>477</v>
      </c>
      <c r="D19" s="19" t="s">
        <v>478</v>
      </c>
      <c r="E19" s="23">
        <v>1000</v>
      </c>
    </row>
    <row r="20" spans="1:5" x14ac:dyDescent="0.2">
      <c r="A20" s="19" t="s">
        <v>22</v>
      </c>
      <c r="B20" s="19" t="s">
        <v>464</v>
      </c>
      <c r="C20" s="19" t="s">
        <v>16</v>
      </c>
      <c r="D20" s="19">
        <v>3</v>
      </c>
      <c r="E20" s="23"/>
    </row>
    <row r="21" spans="1:5" x14ac:dyDescent="0.2">
      <c r="A21" s="19" t="s">
        <v>25</v>
      </c>
      <c r="B21" s="19" t="s">
        <v>461</v>
      </c>
      <c r="C21" s="19" t="s">
        <v>479</v>
      </c>
      <c r="D21" s="19" t="s">
        <v>24</v>
      </c>
      <c r="E21" s="23">
        <v>500</v>
      </c>
    </row>
    <row r="22" spans="1:5" x14ac:dyDescent="0.2">
      <c r="A22" s="19" t="s">
        <v>24</v>
      </c>
      <c r="B22" s="19" t="s">
        <v>461</v>
      </c>
      <c r="C22" s="19" t="s">
        <v>480</v>
      </c>
      <c r="D22" s="19" t="s">
        <v>481</v>
      </c>
      <c r="E22" s="23">
        <v>500</v>
      </c>
    </row>
    <row r="23" spans="1:5" x14ac:dyDescent="0.2">
      <c r="A23" s="19" t="s">
        <v>481</v>
      </c>
      <c r="B23" s="19" t="s">
        <v>461</v>
      </c>
      <c r="C23" s="19" t="s">
        <v>482</v>
      </c>
      <c r="D23" s="19" t="s">
        <v>26</v>
      </c>
      <c r="E23" s="23">
        <v>1000</v>
      </c>
    </row>
    <row r="24" spans="1:5" x14ac:dyDescent="0.2">
      <c r="A24" s="19" t="s">
        <v>26</v>
      </c>
      <c r="B24" s="19" t="s">
        <v>461</v>
      </c>
      <c r="C24" s="19" t="s">
        <v>483</v>
      </c>
      <c r="D24" s="19" t="s">
        <v>27</v>
      </c>
      <c r="E24" s="23">
        <v>500</v>
      </c>
    </row>
    <row r="25" spans="1:5" x14ac:dyDescent="0.2">
      <c r="A25" s="19" t="s">
        <v>27</v>
      </c>
      <c r="B25" s="19" t="s">
        <v>464</v>
      </c>
      <c r="C25" s="19" t="s">
        <v>17</v>
      </c>
      <c r="D25" s="19">
        <v>4</v>
      </c>
      <c r="E25" s="23"/>
    </row>
    <row r="26" spans="1:5" x14ac:dyDescent="0.2">
      <c r="A26" s="19" t="s">
        <v>29</v>
      </c>
      <c r="B26" s="19" t="s">
        <v>461</v>
      </c>
      <c r="C26" s="19" t="s">
        <v>484</v>
      </c>
      <c r="D26" s="19" t="s">
        <v>29</v>
      </c>
      <c r="E26" s="23">
        <v>700</v>
      </c>
    </row>
    <row r="27" spans="1:5" x14ac:dyDescent="0.2">
      <c r="A27" s="19" t="s">
        <v>31</v>
      </c>
      <c r="B27" s="19" t="s">
        <v>485</v>
      </c>
      <c r="C27" s="19" t="s">
        <v>486</v>
      </c>
      <c r="D27" s="19" t="s">
        <v>31</v>
      </c>
      <c r="E27" s="23">
        <v>500</v>
      </c>
    </row>
    <row r="28" spans="1:5" x14ac:dyDescent="0.2">
      <c r="A28" s="19" t="s">
        <v>32</v>
      </c>
      <c r="B28" s="19" t="s">
        <v>485</v>
      </c>
      <c r="C28" s="19" t="s">
        <v>487</v>
      </c>
      <c r="D28" s="19" t="s">
        <v>32</v>
      </c>
      <c r="E28" s="23">
        <v>5000</v>
      </c>
    </row>
    <row r="29" spans="1:5" x14ac:dyDescent="0.2">
      <c r="A29" s="19" t="s">
        <v>34</v>
      </c>
      <c r="B29" s="19" t="s">
        <v>485</v>
      </c>
      <c r="C29" s="19" t="s">
        <v>488</v>
      </c>
      <c r="D29" s="19" t="s">
        <v>34</v>
      </c>
      <c r="E29" s="23">
        <v>700</v>
      </c>
    </row>
    <row r="30" spans="1:5" x14ac:dyDescent="0.2">
      <c r="A30" s="19" t="s">
        <v>35</v>
      </c>
      <c r="B30" s="19" t="s">
        <v>485</v>
      </c>
      <c r="C30" s="19" t="s">
        <v>489</v>
      </c>
      <c r="D30" s="19" t="s">
        <v>35</v>
      </c>
      <c r="E30" s="23">
        <v>500</v>
      </c>
    </row>
    <row r="31" spans="1:5" x14ac:dyDescent="0.2">
      <c r="A31" s="19" t="s">
        <v>36</v>
      </c>
      <c r="B31" s="19" t="s">
        <v>485</v>
      </c>
      <c r="C31" s="19" t="s">
        <v>490</v>
      </c>
      <c r="D31" s="19" t="s">
        <v>36</v>
      </c>
      <c r="E31" s="23">
        <v>300</v>
      </c>
    </row>
    <row r="32" spans="1:5" x14ac:dyDescent="0.2">
      <c r="A32" s="19" t="s">
        <v>37</v>
      </c>
      <c r="B32" s="19" t="s">
        <v>485</v>
      </c>
      <c r="C32" s="19" t="s">
        <v>491</v>
      </c>
      <c r="D32" s="19" t="s">
        <v>37</v>
      </c>
      <c r="E32" s="23">
        <v>1000</v>
      </c>
    </row>
    <row r="33" spans="1:5" x14ac:dyDescent="0.2">
      <c r="A33" s="19" t="s">
        <v>38</v>
      </c>
      <c r="B33" s="19" t="s">
        <v>492</v>
      </c>
      <c r="C33" s="19" t="s">
        <v>493</v>
      </c>
      <c r="D33" s="19" t="s">
        <v>38</v>
      </c>
      <c r="E33" s="23">
        <v>3000</v>
      </c>
    </row>
    <row r="34" spans="1:5" x14ac:dyDescent="0.2">
      <c r="A34" s="19" t="s">
        <v>40</v>
      </c>
      <c r="B34" s="19" t="s">
        <v>492</v>
      </c>
      <c r="C34" s="19" t="s">
        <v>494</v>
      </c>
      <c r="D34" s="19" t="s">
        <v>40</v>
      </c>
      <c r="E34" s="23">
        <v>1000</v>
      </c>
    </row>
    <row r="35" spans="1:5" x14ac:dyDescent="0.2">
      <c r="A35" s="19" t="s">
        <v>41</v>
      </c>
      <c r="B35" s="19" t="s">
        <v>492</v>
      </c>
      <c r="C35" s="19" t="s">
        <v>495</v>
      </c>
      <c r="D35" s="19" t="s">
        <v>41</v>
      </c>
      <c r="E35" s="23">
        <v>1000</v>
      </c>
    </row>
    <row r="36" spans="1:5" x14ac:dyDescent="0.2">
      <c r="A36" s="19" t="s">
        <v>42</v>
      </c>
      <c r="B36" s="19" t="s">
        <v>496</v>
      </c>
      <c r="C36" s="19" t="s">
        <v>497</v>
      </c>
      <c r="D36" s="19" t="s">
        <v>42</v>
      </c>
      <c r="E36" s="23">
        <v>30000</v>
      </c>
    </row>
    <row r="37" spans="1:5" x14ac:dyDescent="0.2">
      <c r="A37" s="19" t="s">
        <v>498</v>
      </c>
      <c r="B37" s="19" t="s">
        <v>499</v>
      </c>
      <c r="C37" s="19" t="s">
        <v>500</v>
      </c>
      <c r="D37" s="19" t="s">
        <v>498</v>
      </c>
      <c r="E37" s="23">
        <v>700</v>
      </c>
    </row>
    <row r="38" spans="1:5" x14ac:dyDescent="0.2">
      <c r="A38" s="19" t="s">
        <v>501</v>
      </c>
      <c r="B38" s="19" t="s">
        <v>492</v>
      </c>
      <c r="C38" s="19" t="s">
        <v>502</v>
      </c>
      <c r="D38" s="19" t="s">
        <v>501</v>
      </c>
      <c r="E38" s="23">
        <v>500</v>
      </c>
    </row>
    <row r="39" spans="1:5" x14ac:dyDescent="0.2">
      <c r="A39" s="19" t="s">
        <v>503</v>
      </c>
      <c r="B39" s="19" t="s">
        <v>504</v>
      </c>
      <c r="C39" s="19" t="s">
        <v>505</v>
      </c>
      <c r="D39" s="19" t="s">
        <v>503</v>
      </c>
      <c r="E39" s="23">
        <v>15000</v>
      </c>
    </row>
    <row r="40" spans="1:5" x14ac:dyDescent="0.2">
      <c r="A40" s="19" t="s">
        <v>506</v>
      </c>
      <c r="B40" s="19" t="s">
        <v>467</v>
      </c>
      <c r="C40" s="19" t="s">
        <v>507</v>
      </c>
      <c r="D40" s="19" t="s">
        <v>506</v>
      </c>
      <c r="E40" s="23">
        <v>10000</v>
      </c>
    </row>
    <row r="41" spans="1:5" x14ac:dyDescent="0.2">
      <c r="A41" s="19" t="s">
        <v>508</v>
      </c>
      <c r="B41" s="19" t="s">
        <v>467</v>
      </c>
      <c r="C41" s="19" t="s">
        <v>509</v>
      </c>
      <c r="D41" s="19" t="s">
        <v>508</v>
      </c>
      <c r="E41" s="23">
        <v>10000</v>
      </c>
    </row>
    <row r="42" spans="1:5" x14ac:dyDescent="0.2">
      <c r="A42" s="19" t="s">
        <v>510</v>
      </c>
      <c r="B42" s="19" t="s">
        <v>511</v>
      </c>
      <c r="C42" s="19" t="s">
        <v>512</v>
      </c>
      <c r="D42" s="19" t="s">
        <v>510</v>
      </c>
      <c r="E42" s="23">
        <v>5000</v>
      </c>
    </row>
    <row r="43" spans="1:5" x14ac:dyDescent="0.2">
      <c r="A43" s="19" t="s">
        <v>513</v>
      </c>
      <c r="B43" s="19" t="s">
        <v>511</v>
      </c>
      <c r="C43" s="19" t="s">
        <v>514</v>
      </c>
      <c r="D43" s="19" t="s">
        <v>513</v>
      </c>
      <c r="E43" s="23">
        <v>4000</v>
      </c>
    </row>
    <row r="44" spans="1:5" x14ac:dyDescent="0.2">
      <c r="A44" s="19" t="s">
        <v>515</v>
      </c>
      <c r="B44" s="19" t="s">
        <v>511</v>
      </c>
      <c r="C44" s="19" t="s">
        <v>516</v>
      </c>
      <c r="D44" s="19" t="s">
        <v>515</v>
      </c>
      <c r="E44" s="23">
        <v>1000</v>
      </c>
    </row>
    <row r="45" spans="1:5" x14ac:dyDescent="0.2">
      <c r="A45" s="19" t="s">
        <v>45</v>
      </c>
      <c r="B45" s="19" t="s">
        <v>511</v>
      </c>
      <c r="C45" s="19" t="s">
        <v>517</v>
      </c>
      <c r="D45" s="19" t="s">
        <v>45</v>
      </c>
      <c r="E45" s="23">
        <v>10000</v>
      </c>
    </row>
    <row r="46" spans="1:5" x14ac:dyDescent="0.2">
      <c r="A46" s="19" t="s">
        <v>518</v>
      </c>
      <c r="B46" s="19" t="s">
        <v>511</v>
      </c>
      <c r="C46" s="19" t="s">
        <v>519</v>
      </c>
      <c r="D46" s="19" t="s">
        <v>518</v>
      </c>
      <c r="E46" s="23">
        <v>20000</v>
      </c>
    </row>
    <row r="47" spans="1:5" x14ac:dyDescent="0.2">
      <c r="A47" s="19" t="s">
        <v>520</v>
      </c>
      <c r="B47" s="19" t="s">
        <v>511</v>
      </c>
      <c r="C47" s="19" t="s">
        <v>521</v>
      </c>
      <c r="D47" s="19" t="s">
        <v>520</v>
      </c>
      <c r="E47" s="23">
        <v>10000</v>
      </c>
    </row>
    <row r="48" spans="1:5" x14ac:dyDescent="0.2">
      <c r="A48" s="19" t="s">
        <v>464</v>
      </c>
      <c r="B48" s="19" t="s">
        <v>464</v>
      </c>
      <c r="C48" s="19" t="s">
        <v>23</v>
      </c>
      <c r="D48" s="19">
        <v>10</v>
      </c>
      <c r="E48" s="23"/>
    </row>
    <row r="49" spans="1:5" x14ac:dyDescent="0.2">
      <c r="A49" s="25"/>
      <c r="B49" s="25"/>
      <c r="C49" s="19" t="s">
        <v>12</v>
      </c>
      <c r="D49" s="19">
        <v>1</v>
      </c>
      <c r="E49" s="23"/>
    </row>
    <row r="50" spans="1:5" x14ac:dyDescent="0.2">
      <c r="A50" s="25"/>
      <c r="B50" s="25"/>
      <c r="C50" s="19" t="s">
        <v>19</v>
      </c>
      <c r="D50" s="19">
        <v>5</v>
      </c>
      <c r="E50" s="23"/>
    </row>
    <row r="51" spans="1:5" x14ac:dyDescent="0.2">
      <c r="A51" s="25"/>
      <c r="B51" s="25"/>
      <c r="C51" s="19" t="s">
        <v>522</v>
      </c>
      <c r="D51" s="19">
        <v>7</v>
      </c>
      <c r="E51" s="23"/>
    </row>
    <row r="52" spans="1:5" x14ac:dyDescent="0.2">
      <c r="A52" s="25"/>
      <c r="B52" s="25"/>
      <c r="C52" s="19" t="s">
        <v>289</v>
      </c>
      <c r="D52" s="19">
        <v>9</v>
      </c>
      <c r="E52" s="23"/>
    </row>
    <row r="53" spans="1:5" x14ac:dyDescent="0.2">
      <c r="A53" s="25"/>
      <c r="B53" s="25"/>
      <c r="C53" s="19" t="s">
        <v>523</v>
      </c>
      <c r="D53" s="19">
        <v>8</v>
      </c>
      <c r="E53" s="23"/>
    </row>
    <row r="54" spans="1:5" x14ac:dyDescent="0.2">
      <c r="A54" s="25"/>
      <c r="B54" s="25"/>
      <c r="C54" s="19" t="s">
        <v>21</v>
      </c>
      <c r="D54" s="19">
        <v>6</v>
      </c>
      <c r="E54" s="23"/>
    </row>
    <row r="55" spans="1:5" x14ac:dyDescent="0.2">
      <c r="A55" s="22" t="s">
        <v>330</v>
      </c>
      <c r="B55" s="26"/>
      <c r="C55" s="26"/>
      <c r="D55" s="26"/>
      <c r="E55" s="24">
        <v>150000</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pageSetUpPr fitToPage="1"/>
  </sheetPr>
  <dimension ref="B2:AA18"/>
  <sheetViews>
    <sheetView showGridLines="0" topLeftCell="B1" zoomScale="70" zoomScaleNormal="70" workbookViewId="0">
      <pane ySplit="5" topLeftCell="A6" activePane="bottomLeft" state="frozenSplit"/>
      <selection activeCell="B1" sqref="B1"/>
      <selection pane="bottomLeft" activeCell="H21" sqref="H21"/>
    </sheetView>
  </sheetViews>
  <sheetFormatPr defaultRowHeight="12.75" x14ac:dyDescent="0.2"/>
  <cols>
    <col min="1" max="1" width="3.42578125" customWidth="1"/>
    <col min="2" max="2" width="13" style="1" customWidth="1"/>
    <col min="3" max="3" width="78.42578125" style="2" customWidth="1"/>
    <col min="4" max="4" width="7.85546875" style="1" bestFit="1" customWidth="1"/>
    <col min="5" max="5" width="9.7109375" style="1" bestFit="1" customWidth="1"/>
    <col min="6" max="6" width="8.28515625" style="1" bestFit="1" customWidth="1"/>
    <col min="7" max="7" width="10.5703125" style="1" bestFit="1" customWidth="1"/>
    <col min="8" max="8" width="10.140625" style="1" bestFit="1" customWidth="1"/>
    <col min="9" max="9" width="7.7109375" style="1" bestFit="1" customWidth="1"/>
    <col min="10" max="11" width="3.7109375" style="1" customWidth="1"/>
    <col min="12" max="27" width="3.7109375" customWidth="1"/>
  </cols>
  <sheetData>
    <row r="2" spans="2:27" ht="16.5" x14ac:dyDescent="0.25">
      <c r="B2" s="3" t="s">
        <v>524</v>
      </c>
    </row>
    <row r="4" spans="2:27" ht="13.5" thickBot="1" x14ac:dyDescent="0.25"/>
    <row r="5" spans="2:27" s="13" customFormat="1" ht="16.5" thickBot="1" x14ac:dyDescent="0.25">
      <c r="B5" s="14" t="s">
        <v>0</v>
      </c>
      <c r="C5" s="15" t="s">
        <v>525</v>
      </c>
      <c r="D5" s="185"/>
      <c r="E5" s="185"/>
      <c r="F5" s="185"/>
      <c r="G5" s="185"/>
      <c r="H5" s="185"/>
      <c r="I5" s="185"/>
      <c r="J5" s="185"/>
      <c r="K5" s="185"/>
      <c r="L5" s="185"/>
      <c r="M5" s="185"/>
      <c r="N5" s="185"/>
      <c r="O5" s="185"/>
      <c r="P5" s="185"/>
      <c r="Q5" s="185"/>
      <c r="R5" s="185"/>
      <c r="S5" s="185"/>
      <c r="T5" s="185"/>
      <c r="U5" s="185"/>
      <c r="V5" s="185"/>
      <c r="W5" s="185"/>
      <c r="X5" s="186"/>
      <c r="Y5" s="16"/>
      <c r="Z5" s="16"/>
      <c r="AA5" s="17"/>
    </row>
    <row r="6" spans="2:27" ht="13.5" thickBot="1" x14ac:dyDescent="0.25">
      <c r="B6" s="18"/>
      <c r="C6"/>
      <c r="D6" s="154">
        <v>1</v>
      </c>
      <c r="E6" s="97">
        <v>2</v>
      </c>
      <c r="F6" s="97">
        <v>3</v>
      </c>
      <c r="G6" s="155">
        <v>4</v>
      </c>
      <c r="H6" s="154">
        <v>5</v>
      </c>
      <c r="I6" s="97">
        <v>6</v>
      </c>
      <c r="J6" s="97">
        <v>7</v>
      </c>
      <c r="K6" s="155">
        <v>8</v>
      </c>
      <c r="L6" s="154">
        <v>9</v>
      </c>
      <c r="M6" s="97">
        <v>10</v>
      </c>
      <c r="N6" s="97">
        <v>11</v>
      </c>
      <c r="O6" s="155">
        <v>12</v>
      </c>
      <c r="P6" s="154">
        <v>13</v>
      </c>
      <c r="Q6" s="97">
        <v>14</v>
      </c>
      <c r="R6" s="97">
        <v>15</v>
      </c>
      <c r="S6" s="155">
        <v>16</v>
      </c>
      <c r="T6" s="154">
        <v>17</v>
      </c>
      <c r="U6" s="97">
        <v>18</v>
      </c>
      <c r="V6" s="97">
        <v>19</v>
      </c>
      <c r="W6" s="155">
        <v>20</v>
      </c>
      <c r="X6" s="154">
        <v>21</v>
      </c>
      <c r="Y6" s="97">
        <v>22</v>
      </c>
      <c r="Z6" s="97">
        <v>23</v>
      </c>
      <c r="AA6" s="155">
        <v>24</v>
      </c>
    </row>
    <row r="7" spans="2:27" ht="12.75" customHeight="1" x14ac:dyDescent="0.2">
      <c r="B7" s="18"/>
      <c r="C7"/>
      <c r="D7" s="187" t="s">
        <v>526</v>
      </c>
      <c r="E7" s="188"/>
      <c r="F7" s="188"/>
      <c r="G7" s="189"/>
      <c r="H7" s="190" t="s">
        <v>527</v>
      </c>
      <c r="I7" s="188"/>
      <c r="J7" s="188"/>
      <c r="K7" s="189"/>
      <c r="L7" s="190" t="s">
        <v>528</v>
      </c>
      <c r="M7" s="188"/>
      <c r="N7" s="188"/>
      <c r="O7" s="189"/>
      <c r="P7" s="190" t="s">
        <v>529</v>
      </c>
      <c r="Q7" s="188"/>
      <c r="R7" s="188"/>
      <c r="S7" s="189"/>
      <c r="T7" s="190" t="s">
        <v>530</v>
      </c>
      <c r="U7" s="188"/>
      <c r="V7" s="188"/>
      <c r="W7" s="189"/>
      <c r="X7" s="190" t="s">
        <v>531</v>
      </c>
      <c r="Y7" s="188"/>
      <c r="Z7" s="188"/>
      <c r="AA7" s="189"/>
    </row>
    <row r="8" spans="2:27" s="9" customFormat="1" ht="15.75" x14ac:dyDescent="0.2">
      <c r="B8" s="10" t="s">
        <v>8</v>
      </c>
      <c r="C8" s="8" t="s">
        <v>532</v>
      </c>
      <c r="D8" s="182">
        <v>30000</v>
      </c>
      <c r="E8" s="183"/>
      <c r="F8" s="183"/>
      <c r="G8" s="184"/>
      <c r="H8" s="182"/>
      <c r="I8" s="183"/>
      <c r="J8" s="183"/>
      <c r="K8" s="184"/>
      <c r="L8" s="182"/>
      <c r="M8" s="183"/>
      <c r="N8" s="183"/>
      <c r="O8" s="184"/>
      <c r="P8" s="182"/>
      <c r="Q8" s="183"/>
      <c r="R8" s="183"/>
      <c r="S8" s="184"/>
      <c r="T8" s="182"/>
      <c r="U8" s="183"/>
      <c r="V8" s="183"/>
      <c r="W8" s="184"/>
      <c r="X8" s="182"/>
      <c r="Y8" s="183"/>
      <c r="Z8" s="183"/>
      <c r="AA8" s="184"/>
    </row>
    <row r="9" spans="2:27" s="9" customFormat="1" ht="15.75" x14ac:dyDescent="0.2">
      <c r="B9" s="10" t="s">
        <v>13</v>
      </c>
      <c r="C9" s="8" t="s">
        <v>533</v>
      </c>
      <c r="D9" s="182"/>
      <c r="E9" s="183"/>
      <c r="F9" s="183"/>
      <c r="G9" s="184"/>
      <c r="H9" s="182">
        <v>5000</v>
      </c>
      <c r="I9" s="183"/>
      <c r="J9" s="183"/>
      <c r="K9" s="184"/>
      <c r="L9" s="182">
        <v>5000</v>
      </c>
      <c r="M9" s="183"/>
      <c r="N9" s="183"/>
      <c r="O9" s="184"/>
      <c r="P9" s="182">
        <v>5000</v>
      </c>
      <c r="Q9" s="183"/>
      <c r="R9" s="183"/>
      <c r="S9" s="184"/>
      <c r="T9" s="182">
        <v>5000</v>
      </c>
      <c r="U9" s="183"/>
      <c r="V9" s="183"/>
      <c r="W9" s="184"/>
      <c r="X9" s="182"/>
      <c r="Y9" s="183"/>
      <c r="Z9" s="183"/>
      <c r="AA9" s="184"/>
    </row>
    <row r="10" spans="2:27" s="9" customFormat="1" ht="16.5" thickBot="1" x14ac:dyDescent="0.25">
      <c r="B10" s="10" t="s">
        <v>15</v>
      </c>
      <c r="C10" s="8" t="s">
        <v>534</v>
      </c>
      <c r="D10" s="182"/>
      <c r="E10" s="183"/>
      <c r="F10" s="183"/>
      <c r="G10" s="184"/>
      <c r="H10" s="182"/>
      <c r="I10" s="183"/>
      <c r="J10" s="183"/>
      <c r="K10" s="184"/>
      <c r="L10" s="182"/>
      <c r="M10" s="183"/>
      <c r="N10" s="183"/>
      <c r="O10" s="184"/>
      <c r="P10" s="182"/>
      <c r="Q10" s="183"/>
      <c r="R10" s="183"/>
      <c r="S10" s="184"/>
      <c r="T10" s="182"/>
      <c r="U10" s="183"/>
      <c r="V10" s="183"/>
      <c r="W10" s="184"/>
      <c r="X10" s="182">
        <v>10000</v>
      </c>
      <c r="Y10" s="183"/>
      <c r="Z10" s="183"/>
      <c r="AA10" s="184"/>
    </row>
    <row r="11" spans="2:27" ht="15.75" x14ac:dyDescent="0.2">
      <c r="B11" s="11">
        <v>2</v>
      </c>
      <c r="C11" s="12" t="s">
        <v>535</v>
      </c>
      <c r="D11" s="182"/>
      <c r="E11" s="183"/>
      <c r="F11" s="183"/>
      <c r="G11" s="184"/>
      <c r="H11" s="182"/>
      <c r="I11" s="183"/>
      <c r="J11" s="183"/>
      <c r="K11" s="184"/>
      <c r="L11" s="182">
        <v>20000</v>
      </c>
      <c r="M11" s="183"/>
      <c r="N11" s="183"/>
      <c r="O11" s="184"/>
      <c r="P11" s="182">
        <v>40000</v>
      </c>
      <c r="Q11" s="183"/>
      <c r="R11" s="183"/>
      <c r="S11" s="184"/>
      <c r="T11" s="182">
        <v>10000</v>
      </c>
      <c r="U11" s="183"/>
      <c r="V11" s="183"/>
      <c r="W11" s="184"/>
      <c r="X11" s="182">
        <v>10000</v>
      </c>
      <c r="Y11" s="183"/>
      <c r="Z11" s="183"/>
      <c r="AA11" s="184"/>
    </row>
    <row r="12" spans="2:27" ht="15.75" x14ac:dyDescent="0.2">
      <c r="B12" s="5" t="s">
        <v>25</v>
      </c>
      <c r="C12" s="4" t="s">
        <v>536</v>
      </c>
      <c r="D12" s="182"/>
      <c r="E12" s="183"/>
      <c r="F12" s="183"/>
      <c r="G12" s="184"/>
      <c r="H12" s="191">
        <v>10000</v>
      </c>
      <c r="I12" s="183"/>
      <c r="J12" s="183"/>
      <c r="K12" s="184"/>
      <c r="L12" s="182">
        <v>25000</v>
      </c>
      <c r="M12" s="183"/>
      <c r="N12" s="183"/>
      <c r="O12" s="184"/>
      <c r="P12" s="182">
        <v>25000</v>
      </c>
      <c r="Q12" s="183"/>
      <c r="R12" s="183"/>
      <c r="S12" s="184"/>
      <c r="T12" s="182">
        <v>25000</v>
      </c>
      <c r="U12" s="183"/>
      <c r="V12" s="183"/>
      <c r="W12" s="184"/>
      <c r="X12" s="182">
        <v>5000</v>
      </c>
      <c r="Y12" s="183"/>
      <c r="Z12" s="183"/>
      <c r="AA12" s="184"/>
    </row>
    <row r="13" spans="2:27" s="7" customFormat="1" ht="16.5" thickBot="1" x14ac:dyDescent="0.25">
      <c r="B13" s="5" t="s">
        <v>26</v>
      </c>
      <c r="C13" s="4" t="s">
        <v>537</v>
      </c>
      <c r="D13" s="182"/>
      <c r="E13" s="183"/>
      <c r="F13" s="183"/>
      <c r="G13" s="184"/>
      <c r="H13" s="182"/>
      <c r="I13" s="183"/>
      <c r="J13" s="183"/>
      <c r="K13" s="184"/>
      <c r="L13" s="182">
        <v>15000</v>
      </c>
      <c r="M13" s="183"/>
      <c r="N13" s="183"/>
      <c r="O13" s="184"/>
      <c r="P13" s="182">
        <v>15000</v>
      </c>
      <c r="Q13" s="183"/>
      <c r="R13" s="183"/>
      <c r="S13" s="184"/>
      <c r="T13" s="182">
        <v>20000</v>
      </c>
      <c r="U13" s="183"/>
      <c r="V13" s="183"/>
      <c r="W13" s="184"/>
      <c r="X13" s="182">
        <v>10000</v>
      </c>
      <c r="Y13" s="183"/>
      <c r="Z13" s="183"/>
      <c r="AA13" s="184"/>
    </row>
    <row r="14" spans="2:27" s="6" customFormat="1" ht="15.75" x14ac:dyDescent="0.2">
      <c r="B14" s="11">
        <v>4</v>
      </c>
      <c r="C14" s="12" t="s">
        <v>538</v>
      </c>
      <c r="D14" s="182"/>
      <c r="E14" s="183"/>
      <c r="F14" s="183"/>
      <c r="G14" s="184"/>
      <c r="H14" s="182"/>
      <c r="I14" s="183"/>
      <c r="J14" s="183"/>
      <c r="K14" s="184"/>
      <c r="L14" s="182"/>
      <c r="M14" s="183"/>
      <c r="N14" s="183"/>
      <c r="O14" s="184"/>
      <c r="P14" s="182"/>
      <c r="Q14" s="183"/>
      <c r="R14" s="183"/>
      <c r="S14" s="184"/>
      <c r="T14" s="182"/>
      <c r="U14" s="183"/>
      <c r="V14" s="183"/>
      <c r="W14" s="184"/>
      <c r="X14" s="182">
        <v>7000</v>
      </c>
      <c r="Y14" s="183"/>
      <c r="Z14" s="183"/>
      <c r="AA14" s="184"/>
    </row>
    <row r="15" spans="2:27" s="6" customFormat="1" ht="15.75" x14ac:dyDescent="0.2">
      <c r="B15" s="5" t="s">
        <v>38</v>
      </c>
      <c r="C15" s="4" t="s">
        <v>539</v>
      </c>
      <c r="D15" s="182"/>
      <c r="E15" s="183"/>
      <c r="F15" s="183"/>
      <c r="G15" s="184"/>
      <c r="H15" s="182"/>
      <c r="I15" s="183"/>
      <c r="J15" s="183"/>
      <c r="K15" s="184"/>
      <c r="L15" s="182"/>
      <c r="M15" s="183"/>
      <c r="N15" s="183"/>
      <c r="O15" s="184"/>
      <c r="P15" s="182"/>
      <c r="Q15" s="183"/>
      <c r="R15" s="183"/>
      <c r="S15" s="184"/>
      <c r="T15" s="182">
        <v>4000</v>
      </c>
      <c r="U15" s="183"/>
      <c r="V15" s="183"/>
      <c r="W15" s="184"/>
      <c r="X15" s="182">
        <v>4000</v>
      </c>
      <c r="Y15" s="183"/>
      <c r="Z15" s="183"/>
      <c r="AA15" s="184"/>
    </row>
    <row r="16" spans="2:27" ht="15.75" x14ac:dyDescent="0.2">
      <c r="B16" s="5" t="s">
        <v>40</v>
      </c>
      <c r="C16" s="4" t="s">
        <v>540</v>
      </c>
      <c r="D16" s="182"/>
      <c r="E16" s="183"/>
      <c r="F16" s="183"/>
      <c r="G16" s="184"/>
      <c r="H16" s="182"/>
      <c r="I16" s="183"/>
      <c r="J16" s="183"/>
      <c r="K16" s="184"/>
      <c r="L16" s="182"/>
      <c r="M16" s="183"/>
      <c r="N16" s="183"/>
      <c r="O16" s="184"/>
      <c r="P16" s="182"/>
      <c r="Q16" s="183"/>
      <c r="R16" s="183"/>
      <c r="S16" s="184"/>
      <c r="T16" s="182">
        <v>2500</v>
      </c>
      <c r="U16" s="183"/>
      <c r="V16" s="183"/>
      <c r="W16" s="184"/>
      <c r="X16" s="182">
        <v>2500</v>
      </c>
      <c r="Y16" s="183"/>
      <c r="Z16" s="183"/>
      <c r="AA16" s="184"/>
    </row>
    <row r="17" spans="2:27" s="7" customFormat="1" ht="15.75" x14ac:dyDescent="0.2">
      <c r="B17" s="5" t="s">
        <v>41</v>
      </c>
      <c r="C17" s="4" t="s">
        <v>541</v>
      </c>
      <c r="D17" s="182"/>
      <c r="E17" s="183"/>
      <c r="F17" s="183"/>
      <c r="G17" s="184"/>
      <c r="H17" s="182"/>
      <c r="I17" s="183"/>
      <c r="J17" s="183"/>
      <c r="K17" s="184"/>
      <c r="L17" s="182"/>
      <c r="M17" s="183"/>
      <c r="N17" s="183"/>
      <c r="O17" s="184"/>
      <c r="P17" s="182"/>
      <c r="Q17" s="183"/>
      <c r="R17" s="183"/>
      <c r="S17" s="184"/>
      <c r="T17" s="182"/>
      <c r="U17" s="183"/>
      <c r="V17" s="183"/>
      <c r="W17" s="184"/>
      <c r="X17" s="182">
        <v>0</v>
      </c>
      <c r="Y17" s="183"/>
      <c r="Z17" s="183"/>
      <c r="AA17" s="184"/>
    </row>
    <row r="18" spans="2:27" s="6" customFormat="1" ht="15.75" x14ac:dyDescent="0.2">
      <c r="B18" s="5" t="s">
        <v>542</v>
      </c>
      <c r="C18" s="4" t="s">
        <v>543</v>
      </c>
      <c r="D18" s="182"/>
      <c r="E18" s="183"/>
      <c r="F18" s="183"/>
      <c r="G18" s="184"/>
      <c r="H18" s="182">
        <f>20000*35%</f>
        <v>7000</v>
      </c>
      <c r="I18" s="183"/>
      <c r="J18" s="183"/>
      <c r="K18" s="184"/>
      <c r="L18" s="182">
        <f>13000/4</f>
        <v>3250</v>
      </c>
      <c r="M18" s="183"/>
      <c r="N18" s="183"/>
      <c r="O18" s="184"/>
      <c r="P18" s="182">
        <f>13000/4</f>
        <v>3250</v>
      </c>
      <c r="Q18" s="183"/>
      <c r="R18" s="183"/>
      <c r="S18" s="184"/>
      <c r="T18" s="182">
        <f>13000/4</f>
        <v>3250</v>
      </c>
      <c r="U18" s="183"/>
      <c r="V18" s="183"/>
      <c r="W18" s="184"/>
      <c r="X18" s="182">
        <f>13000/4</f>
        <v>3250</v>
      </c>
      <c r="Y18" s="183"/>
      <c r="Z18" s="183"/>
      <c r="AA18" s="184"/>
    </row>
  </sheetData>
  <mergeCells count="73">
    <mergeCell ref="T18:W18"/>
    <mergeCell ref="X18:AA18"/>
    <mergeCell ref="D18:G18"/>
    <mergeCell ref="H18:K18"/>
    <mergeCell ref="L18:O18"/>
    <mergeCell ref="P18:S18"/>
    <mergeCell ref="X16:AA16"/>
    <mergeCell ref="D17:G17"/>
    <mergeCell ref="H17:K17"/>
    <mergeCell ref="L17:O17"/>
    <mergeCell ref="P17:S17"/>
    <mergeCell ref="T17:W17"/>
    <mergeCell ref="X17:AA17"/>
    <mergeCell ref="D16:G16"/>
    <mergeCell ref="H16:K16"/>
    <mergeCell ref="L16:O16"/>
    <mergeCell ref="P16:S16"/>
    <mergeCell ref="T16:W16"/>
    <mergeCell ref="X15:AA15"/>
    <mergeCell ref="D14:G14"/>
    <mergeCell ref="H14:K14"/>
    <mergeCell ref="L14:O14"/>
    <mergeCell ref="P14:S14"/>
    <mergeCell ref="T14:W14"/>
    <mergeCell ref="D15:G15"/>
    <mergeCell ref="H15:K15"/>
    <mergeCell ref="L15:O15"/>
    <mergeCell ref="P15:S15"/>
    <mergeCell ref="T15:W15"/>
    <mergeCell ref="D13:G13"/>
    <mergeCell ref="H13:K13"/>
    <mergeCell ref="L13:O13"/>
    <mergeCell ref="P13:S13"/>
    <mergeCell ref="X14:AA14"/>
    <mergeCell ref="T13:W13"/>
    <mergeCell ref="X13:AA13"/>
    <mergeCell ref="P11:S11"/>
    <mergeCell ref="P10:S10"/>
    <mergeCell ref="X9:AA9"/>
    <mergeCell ref="D12:G12"/>
    <mergeCell ref="H12:K12"/>
    <mergeCell ref="L12:O12"/>
    <mergeCell ref="P12:S12"/>
    <mergeCell ref="T12:W12"/>
    <mergeCell ref="T10:W10"/>
    <mergeCell ref="X10:AA10"/>
    <mergeCell ref="X12:AA12"/>
    <mergeCell ref="T11:W11"/>
    <mergeCell ref="X11:AA11"/>
    <mergeCell ref="D11:G11"/>
    <mergeCell ref="H11:K11"/>
    <mergeCell ref="L11:O11"/>
    <mergeCell ref="L10:O10"/>
    <mergeCell ref="L9:O9"/>
    <mergeCell ref="T8:W8"/>
    <mergeCell ref="X8:AA8"/>
    <mergeCell ref="L8:O8"/>
    <mergeCell ref="D10:G10"/>
    <mergeCell ref="H10:K10"/>
    <mergeCell ref="P9:S9"/>
    <mergeCell ref="T9:W9"/>
    <mergeCell ref="D5:X5"/>
    <mergeCell ref="D7:G7"/>
    <mergeCell ref="H7:K7"/>
    <mergeCell ref="L7:O7"/>
    <mergeCell ref="P7:S7"/>
    <mergeCell ref="T7:W7"/>
    <mergeCell ref="X7:AA7"/>
    <mergeCell ref="D9:G9"/>
    <mergeCell ref="H9:K9"/>
    <mergeCell ref="D8:G8"/>
    <mergeCell ref="H8:K8"/>
    <mergeCell ref="P8:S8"/>
  </mergeCells>
  <phoneticPr fontId="12" type="noConversion"/>
  <printOptions horizontalCentered="1"/>
  <pageMargins left="0.39370078740157483" right="0.19685039370078741" top="0.39370078740157483" bottom="0.19685039370078741" header="0.51181102362204722" footer="0.51181102362204722"/>
  <pageSetup paperSize="9" scale="61"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A23AA-26BD-40EA-9ACA-280F2D336AE6}">
  <dimension ref="F5:P14"/>
  <sheetViews>
    <sheetView showGridLines="0" workbookViewId="0">
      <selection activeCell="K25" sqref="K25"/>
    </sheetView>
  </sheetViews>
  <sheetFormatPr defaultRowHeight="12.75" x14ac:dyDescent="0.2"/>
  <sheetData>
    <row r="5" spans="6:16" x14ac:dyDescent="0.2">
      <c r="J5" s="301" t="s">
        <v>887</v>
      </c>
      <c r="K5" s="301"/>
    </row>
    <row r="6" spans="6:16" x14ac:dyDescent="0.2">
      <c r="J6" s="301"/>
      <c r="K6" s="301"/>
    </row>
    <row r="7" spans="6:16" x14ac:dyDescent="0.2">
      <c r="J7" s="302" t="s">
        <v>888</v>
      </c>
      <c r="K7" s="302"/>
    </row>
    <row r="8" spans="6:16" x14ac:dyDescent="0.2">
      <c r="K8" s="303"/>
    </row>
    <row r="9" spans="6:16" x14ac:dyDescent="0.2">
      <c r="K9" s="304"/>
    </row>
    <row r="10" spans="6:16" x14ac:dyDescent="0.2">
      <c r="I10" s="308"/>
      <c r="K10" s="304"/>
      <c r="O10" s="308"/>
    </row>
    <row r="11" spans="6:16" x14ac:dyDescent="0.2">
      <c r="G11" s="306"/>
      <c r="H11" s="305"/>
      <c r="I11" s="307"/>
      <c r="J11" s="306"/>
      <c r="K11" s="305"/>
      <c r="L11" s="305"/>
      <c r="M11" s="306"/>
      <c r="N11" s="305"/>
      <c r="P11" s="309"/>
    </row>
    <row r="12" spans="6:16" x14ac:dyDescent="0.2">
      <c r="F12" s="301" t="s">
        <v>889</v>
      </c>
      <c r="G12" s="301"/>
      <c r="I12" s="301" t="s">
        <v>895</v>
      </c>
      <c r="J12" s="301"/>
      <c r="L12" s="301" t="s">
        <v>893</v>
      </c>
      <c r="M12" s="301"/>
      <c r="O12" s="301" t="s">
        <v>891</v>
      </c>
      <c r="P12" s="301"/>
    </row>
    <row r="13" spans="6:16" x14ac:dyDescent="0.2">
      <c r="F13" s="301"/>
      <c r="G13" s="301"/>
      <c r="I13" s="301"/>
      <c r="J13" s="301"/>
      <c r="L13" s="301"/>
      <c r="M13" s="301"/>
      <c r="O13" s="301"/>
      <c r="P13" s="301"/>
    </row>
    <row r="14" spans="6:16" x14ac:dyDescent="0.2">
      <c r="F14" s="302" t="s">
        <v>890</v>
      </c>
      <c r="G14" s="302"/>
      <c r="I14" s="302" t="s">
        <v>896</v>
      </c>
      <c r="J14" s="302"/>
      <c r="L14" s="302" t="s">
        <v>894</v>
      </c>
      <c r="M14" s="302"/>
      <c r="O14" s="302" t="s">
        <v>892</v>
      </c>
      <c r="P14" s="302"/>
    </row>
  </sheetData>
  <mergeCells count="10">
    <mergeCell ref="O12:P13"/>
    <mergeCell ref="O14:P14"/>
    <mergeCell ref="L14:M14"/>
    <mergeCell ref="I14:J14"/>
    <mergeCell ref="J5:K6"/>
    <mergeCell ref="J7:K7"/>
    <mergeCell ref="F12:G13"/>
    <mergeCell ref="F14:G14"/>
    <mergeCell ref="I12:J13"/>
    <mergeCell ref="L12:M1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C3631-5217-45CA-89B5-26F0AD427533}">
  <sheetPr codeName="Plan1">
    <pageSetUpPr fitToPage="1"/>
  </sheetPr>
  <dimension ref="A1:AJ27"/>
  <sheetViews>
    <sheetView showGridLines="0" zoomScale="80" zoomScaleNormal="80" workbookViewId="0">
      <pane xSplit="7" ySplit="7" topLeftCell="H8" activePane="bottomRight" state="frozen"/>
      <selection pane="topRight" activeCell="G1" sqref="G1"/>
      <selection pane="bottomLeft" activeCell="A5" sqref="A5"/>
      <selection pane="bottomRight" activeCell="G29" sqref="G29"/>
    </sheetView>
  </sheetViews>
  <sheetFormatPr defaultRowHeight="11.25" x14ac:dyDescent="0.2"/>
  <cols>
    <col min="1" max="1" width="4.7109375" style="192" customWidth="1"/>
    <col min="2" max="2" width="11.5703125" style="192" customWidth="1"/>
    <col min="3" max="3" width="9.7109375" style="192" customWidth="1"/>
    <col min="4" max="4" width="26.28515625" style="192" customWidth="1"/>
    <col min="5" max="5" width="25.85546875" style="195" customWidth="1"/>
    <col min="6" max="6" width="17.5703125" style="192" customWidth="1"/>
    <col min="7" max="7" width="14.85546875" style="194" bestFit="1" customWidth="1"/>
    <col min="8" max="8" width="13.7109375" style="194" customWidth="1"/>
    <col min="9" max="9" width="28.85546875" style="193" customWidth="1"/>
    <col min="10" max="10" width="27.7109375" style="193" customWidth="1"/>
    <col min="11" max="11" width="17.42578125" style="192" hidden="1" customWidth="1"/>
    <col min="12" max="12" width="15.7109375" style="192" customWidth="1"/>
    <col min="13" max="15" width="9.140625" style="192"/>
    <col min="16" max="16" width="8.85546875" style="192" customWidth="1"/>
    <col min="17" max="17" width="10" style="192" customWidth="1"/>
    <col min="18" max="18" width="14.28515625" style="192" customWidth="1"/>
    <col min="19" max="16384" width="9.140625" style="192"/>
  </cols>
  <sheetData>
    <row r="1" spans="1:36" ht="13.5" thickBot="1" x14ac:dyDescent="0.25">
      <c r="A1" s="260" t="s">
        <v>698</v>
      </c>
      <c r="B1" s="259"/>
      <c r="C1" s="259"/>
      <c r="D1" s="259"/>
      <c r="E1" s="259"/>
      <c r="F1" s="259"/>
      <c r="G1" s="259"/>
      <c r="H1" s="258"/>
      <c r="I1" s="257"/>
      <c r="J1" s="257"/>
      <c r="K1" s="256"/>
      <c r="L1" s="255"/>
      <c r="AF1" s="254" t="s">
        <v>697</v>
      </c>
      <c r="AG1" s="253"/>
      <c r="AH1" s="41"/>
      <c r="AI1" s="252" t="s">
        <v>696</v>
      </c>
      <c r="AJ1" s="251"/>
    </row>
    <row r="2" spans="1:36" ht="12.75" x14ac:dyDescent="0.2">
      <c r="A2" s="249"/>
      <c r="B2" s="248"/>
      <c r="C2" s="248"/>
      <c r="D2" s="248"/>
      <c r="E2" s="248"/>
      <c r="F2" s="248"/>
      <c r="G2" s="248"/>
      <c r="H2" s="247"/>
      <c r="I2" s="246"/>
      <c r="J2" s="246"/>
      <c r="K2" s="245"/>
      <c r="L2" s="244"/>
      <c r="AF2" s="243"/>
      <c r="AG2" s="242"/>
      <c r="AH2" s="41"/>
      <c r="AI2" s="241"/>
      <c r="AJ2" s="240"/>
    </row>
    <row r="3" spans="1:36" ht="12.75" x14ac:dyDescent="0.2">
      <c r="A3" s="249"/>
      <c r="B3" s="248"/>
      <c r="C3" s="248"/>
      <c r="D3" s="248"/>
      <c r="E3" s="248"/>
      <c r="F3" s="248"/>
      <c r="G3" s="248"/>
      <c r="H3" s="247"/>
      <c r="I3" s="246"/>
      <c r="J3" s="250"/>
      <c r="K3" s="245"/>
      <c r="L3" s="244"/>
      <c r="AF3" s="243"/>
      <c r="AG3" s="242"/>
      <c r="AH3" s="41"/>
      <c r="AI3" s="241"/>
      <c r="AJ3" s="240"/>
    </row>
    <row r="4" spans="1:36" ht="12.75" x14ac:dyDescent="0.2">
      <c r="A4" s="249" t="str">
        <f>[4]Capa!E6</f>
        <v>[sigla do projeto] - Nome do Projeto</v>
      </c>
      <c r="B4" s="248"/>
      <c r="C4" s="248"/>
      <c r="D4" s="248"/>
      <c r="E4" s="248"/>
      <c r="F4" s="248"/>
      <c r="G4" s="248"/>
      <c r="H4" s="247"/>
      <c r="I4" s="246"/>
      <c r="J4" s="246"/>
      <c r="K4" s="245"/>
      <c r="L4" s="244"/>
      <c r="AF4" s="243"/>
      <c r="AG4" s="242"/>
      <c r="AH4" s="41"/>
      <c r="AI4" s="241"/>
      <c r="AJ4" s="240"/>
    </row>
    <row r="5" spans="1:36" ht="26.25" thickBot="1" x14ac:dyDescent="0.25">
      <c r="A5" s="239"/>
      <c r="B5" s="238"/>
      <c r="C5" s="238"/>
      <c r="D5" s="238"/>
      <c r="E5" s="238"/>
      <c r="F5" s="238"/>
      <c r="G5" s="238"/>
      <c r="H5" s="236"/>
      <c r="I5" s="237"/>
      <c r="J5" s="237"/>
      <c r="K5" s="236"/>
      <c r="L5" s="235"/>
      <c r="AF5" s="234" t="s">
        <v>695</v>
      </c>
      <c r="AG5" s="233">
        <v>1</v>
      </c>
      <c r="AH5" s="41"/>
      <c r="AI5" s="234" t="s">
        <v>694</v>
      </c>
      <c r="AJ5" s="233">
        <v>1</v>
      </c>
    </row>
    <row r="6" spans="1:36" ht="26.25" thickBot="1" x14ac:dyDescent="0.25">
      <c r="A6" s="232" t="s">
        <v>334</v>
      </c>
      <c r="B6" s="231" t="s">
        <v>693</v>
      </c>
      <c r="C6" s="231"/>
      <c r="D6" s="230" t="s">
        <v>692</v>
      </c>
      <c r="E6" s="229"/>
      <c r="F6" s="228"/>
      <c r="G6" s="227" t="s">
        <v>691</v>
      </c>
      <c r="H6" s="227" t="s">
        <v>690</v>
      </c>
      <c r="I6" s="226" t="s">
        <v>689</v>
      </c>
      <c r="J6" s="225" t="s">
        <v>688</v>
      </c>
      <c r="K6" s="224"/>
      <c r="L6" s="223" t="s">
        <v>687</v>
      </c>
      <c r="AF6" s="213" t="s">
        <v>686</v>
      </c>
      <c r="AG6" s="212">
        <v>2</v>
      </c>
      <c r="AH6" s="41"/>
      <c r="AI6" s="213" t="s">
        <v>685</v>
      </c>
      <c r="AJ6" s="212">
        <v>2</v>
      </c>
    </row>
    <row r="7" spans="1:36" s="211" customFormat="1" ht="34.5" thickBot="1" x14ac:dyDescent="0.25">
      <c r="A7" s="222"/>
      <c r="B7" s="221" t="s">
        <v>684</v>
      </c>
      <c r="C7" s="221" t="s">
        <v>339</v>
      </c>
      <c r="D7" s="220" t="s">
        <v>683</v>
      </c>
      <c r="E7" s="220" t="s">
        <v>682</v>
      </c>
      <c r="F7" s="219" t="s">
        <v>681</v>
      </c>
      <c r="G7" s="218"/>
      <c r="H7" s="218"/>
      <c r="I7" s="217"/>
      <c r="J7" s="216"/>
      <c r="K7" s="215" t="s">
        <v>680</v>
      </c>
      <c r="L7" s="214"/>
      <c r="AF7" s="213" t="s">
        <v>679</v>
      </c>
      <c r="AG7" s="212">
        <v>3</v>
      </c>
      <c r="AH7" s="41"/>
      <c r="AI7" s="213" t="s">
        <v>678</v>
      </c>
      <c r="AJ7" s="212">
        <v>3</v>
      </c>
    </row>
    <row r="8" spans="1:36" ht="56.25" x14ac:dyDescent="0.2">
      <c r="A8" s="205" t="s">
        <v>677</v>
      </c>
      <c r="B8" s="204" t="s">
        <v>17</v>
      </c>
      <c r="C8" s="204" t="s">
        <v>649</v>
      </c>
      <c r="D8" s="202" t="s">
        <v>676</v>
      </c>
      <c r="E8" s="203" t="s">
        <v>675</v>
      </c>
      <c r="F8" s="202" t="s">
        <v>674</v>
      </c>
      <c r="G8" s="201" t="s">
        <v>673</v>
      </c>
      <c r="H8" s="200" t="s">
        <v>546</v>
      </c>
      <c r="I8" s="199" t="s">
        <v>672</v>
      </c>
      <c r="J8" s="198" t="s">
        <v>671</v>
      </c>
      <c r="K8" s="197" t="s">
        <v>670</v>
      </c>
      <c r="L8" s="196">
        <f>Qualificar!K8</f>
        <v>0.16000000000000003</v>
      </c>
      <c r="AF8" s="207" t="s">
        <v>669</v>
      </c>
      <c r="AG8" s="206">
        <v>4</v>
      </c>
      <c r="AH8" s="208"/>
      <c r="AI8" s="207" t="s">
        <v>668</v>
      </c>
      <c r="AJ8" s="206">
        <v>4</v>
      </c>
    </row>
    <row r="9" spans="1:36" ht="45.75" thickBot="1" x14ac:dyDescent="0.25">
      <c r="A9" s="205" t="s">
        <v>667</v>
      </c>
      <c r="B9" s="204" t="s">
        <v>666</v>
      </c>
      <c r="C9" s="204" t="s">
        <v>665</v>
      </c>
      <c r="D9" s="202" t="s">
        <v>664</v>
      </c>
      <c r="E9" s="203" t="s">
        <v>663</v>
      </c>
      <c r="F9" s="202" t="s">
        <v>662</v>
      </c>
      <c r="G9" s="201" t="s">
        <v>661</v>
      </c>
      <c r="H9" s="200" t="s">
        <v>546</v>
      </c>
      <c r="I9" s="199" t="s">
        <v>660</v>
      </c>
      <c r="J9" s="198" t="s">
        <v>659</v>
      </c>
      <c r="K9" s="197"/>
      <c r="L9" s="196">
        <f>Qualificar!K9</f>
        <v>8.0000000000000016E-2</v>
      </c>
      <c r="AF9" s="210"/>
      <c r="AG9" s="209"/>
      <c r="AH9" s="208"/>
      <c r="AI9" s="207"/>
      <c r="AJ9" s="206"/>
    </row>
    <row r="10" spans="1:36" ht="34.5" thickBot="1" x14ac:dyDescent="0.25">
      <c r="A10" s="205" t="s">
        <v>658</v>
      </c>
      <c r="B10" s="204" t="s">
        <v>21</v>
      </c>
      <c r="C10" s="204" t="s">
        <v>657</v>
      </c>
      <c r="D10" s="202" t="s">
        <v>656</v>
      </c>
      <c r="E10" s="203" t="s">
        <v>655</v>
      </c>
      <c r="F10" s="202" t="s">
        <v>654</v>
      </c>
      <c r="G10" s="201" t="s">
        <v>653</v>
      </c>
      <c r="H10" s="200" t="s">
        <v>546</v>
      </c>
      <c r="I10" s="199" t="s">
        <v>652</v>
      </c>
      <c r="J10" s="198" t="s">
        <v>651</v>
      </c>
      <c r="K10" s="197"/>
      <c r="L10" s="196">
        <f>Qualificar!K10</f>
        <v>8.0000000000000016E-2</v>
      </c>
      <c r="AF10" s="210"/>
      <c r="AG10" s="209"/>
      <c r="AH10" s="208"/>
      <c r="AI10" s="207"/>
      <c r="AJ10" s="206"/>
    </row>
    <row r="11" spans="1:36" ht="45.75" thickBot="1" x14ac:dyDescent="0.25">
      <c r="A11" s="205" t="s">
        <v>650</v>
      </c>
      <c r="B11" s="204" t="s">
        <v>11</v>
      </c>
      <c r="C11" s="204" t="s">
        <v>649</v>
      </c>
      <c r="D11" s="202" t="s">
        <v>648</v>
      </c>
      <c r="E11" s="203" t="s">
        <v>647</v>
      </c>
      <c r="F11" s="202" t="s">
        <v>646</v>
      </c>
      <c r="G11" s="201" t="s">
        <v>645</v>
      </c>
      <c r="H11" s="200" t="s">
        <v>546</v>
      </c>
      <c r="I11" s="199" t="s">
        <v>644</v>
      </c>
      <c r="J11" s="198" t="s">
        <v>643</v>
      </c>
      <c r="K11" s="197"/>
      <c r="L11" s="196">
        <f>Qualificar!K11</f>
        <v>4.0000000000000008E-2</v>
      </c>
      <c r="AF11" s="210"/>
      <c r="AG11" s="209"/>
      <c r="AH11" s="208"/>
      <c r="AI11" s="207"/>
      <c r="AJ11" s="206"/>
    </row>
    <row r="12" spans="1:36" ht="34.5" thickBot="1" x14ac:dyDescent="0.25">
      <c r="A12" s="205" t="s">
        <v>642</v>
      </c>
      <c r="B12" s="204" t="s">
        <v>641</v>
      </c>
      <c r="C12" s="204" t="s">
        <v>2</v>
      </c>
      <c r="D12" s="202" t="s">
        <v>640</v>
      </c>
      <c r="E12" s="203" t="s">
        <v>639</v>
      </c>
      <c r="F12" s="202" t="s">
        <v>638</v>
      </c>
      <c r="G12" s="201" t="s">
        <v>637</v>
      </c>
      <c r="H12" s="200" t="s">
        <v>546</v>
      </c>
      <c r="I12" s="199" t="s">
        <v>636</v>
      </c>
      <c r="J12" s="199" t="s">
        <v>635</v>
      </c>
      <c r="K12" s="197"/>
      <c r="L12" s="196">
        <f>Qualificar!K12</f>
        <v>8.0000000000000016E-2</v>
      </c>
      <c r="AF12" s="210"/>
      <c r="AG12" s="209"/>
      <c r="AH12" s="208"/>
      <c r="AI12" s="207"/>
      <c r="AJ12" s="206"/>
    </row>
    <row r="13" spans="1:36" ht="34.5" thickBot="1" x14ac:dyDescent="0.25">
      <c r="A13" s="205" t="s">
        <v>634</v>
      </c>
      <c r="B13" s="204" t="s">
        <v>633</v>
      </c>
      <c r="C13" s="204" t="s">
        <v>632</v>
      </c>
      <c r="D13" s="202" t="s">
        <v>631</v>
      </c>
      <c r="E13" s="203" t="s">
        <v>630</v>
      </c>
      <c r="F13" s="202" t="s">
        <v>629</v>
      </c>
      <c r="G13" s="201" t="s">
        <v>628</v>
      </c>
      <c r="H13" s="200" t="s">
        <v>546</v>
      </c>
      <c r="I13" s="199" t="s">
        <v>627</v>
      </c>
      <c r="J13" s="198" t="s">
        <v>626</v>
      </c>
      <c r="K13" s="197"/>
      <c r="L13" s="196">
        <f>Qualificar!K13</f>
        <v>0.64000000000000012</v>
      </c>
      <c r="AF13" s="210"/>
      <c r="AG13" s="209"/>
      <c r="AH13" s="208"/>
      <c r="AI13" s="207"/>
      <c r="AJ13" s="206"/>
    </row>
    <row r="14" spans="1:36" ht="34.5" thickBot="1" x14ac:dyDescent="0.25">
      <c r="A14" s="205" t="s">
        <v>625</v>
      </c>
      <c r="B14" s="204" t="s">
        <v>624</v>
      </c>
      <c r="C14" s="204" t="s">
        <v>623</v>
      </c>
      <c r="D14" s="202" t="s">
        <v>622</v>
      </c>
      <c r="E14" s="203" t="s">
        <v>621</v>
      </c>
      <c r="F14" s="202" t="s">
        <v>620</v>
      </c>
      <c r="G14" s="201" t="s">
        <v>619</v>
      </c>
      <c r="H14" s="200" t="s">
        <v>618</v>
      </c>
      <c r="I14" s="199" t="s">
        <v>617</v>
      </c>
      <c r="J14" s="198" t="s">
        <v>616</v>
      </c>
      <c r="K14" s="197"/>
      <c r="L14" s="196">
        <f>Qualificar!K14</f>
        <v>2.0000000000000004E-2</v>
      </c>
      <c r="AF14" s="210"/>
      <c r="AG14" s="209"/>
      <c r="AH14" s="208"/>
      <c r="AI14" s="207"/>
      <c r="AJ14" s="206"/>
    </row>
    <row r="15" spans="1:36" ht="34.5" thickBot="1" x14ac:dyDescent="0.25">
      <c r="A15" s="205" t="s">
        <v>615</v>
      </c>
      <c r="B15" s="204" t="s">
        <v>614</v>
      </c>
      <c r="C15" s="204" t="s">
        <v>613</v>
      </c>
      <c r="D15" s="202" t="s">
        <v>612</v>
      </c>
      <c r="E15" s="203" t="s">
        <v>611</v>
      </c>
      <c r="F15" s="202" t="s">
        <v>610</v>
      </c>
      <c r="G15" s="201" t="s">
        <v>609</v>
      </c>
      <c r="H15" s="200" t="s">
        <v>546</v>
      </c>
      <c r="I15" s="199" t="s">
        <v>608</v>
      </c>
      <c r="J15" s="199" t="s">
        <v>607</v>
      </c>
      <c r="K15" s="197"/>
      <c r="L15" s="196">
        <f>Qualificar!K15</f>
        <v>4.0000000000000008E-2</v>
      </c>
      <c r="AF15" s="210"/>
      <c r="AG15" s="209"/>
      <c r="AH15" s="208"/>
      <c r="AI15" s="207"/>
      <c r="AJ15" s="206"/>
    </row>
    <row r="16" spans="1:36" ht="45.75" thickBot="1" x14ac:dyDescent="0.25">
      <c r="A16" s="205" t="s">
        <v>606</v>
      </c>
      <c r="B16" s="204" t="s">
        <v>605</v>
      </c>
      <c r="C16" s="204" t="s">
        <v>604</v>
      </c>
      <c r="D16" s="202" t="s">
        <v>603</v>
      </c>
      <c r="E16" s="203" t="s">
        <v>602</v>
      </c>
      <c r="F16" s="202" t="s">
        <v>601</v>
      </c>
      <c r="G16" s="201" t="s">
        <v>600</v>
      </c>
      <c r="H16" s="200" t="s">
        <v>546</v>
      </c>
      <c r="I16" s="199" t="s">
        <v>599</v>
      </c>
      <c r="J16" s="199" t="s">
        <v>598</v>
      </c>
      <c r="K16" s="197"/>
      <c r="L16" s="196"/>
      <c r="AF16" s="210"/>
      <c r="AG16" s="209"/>
      <c r="AH16" s="208"/>
      <c r="AI16" s="207"/>
      <c r="AJ16" s="206"/>
    </row>
    <row r="17" spans="1:36" ht="23.25" thickBot="1" x14ac:dyDescent="0.25">
      <c r="A17" s="205" t="s">
        <v>597</v>
      </c>
      <c r="B17" s="204" t="s">
        <v>39</v>
      </c>
      <c r="C17" s="204" t="s">
        <v>596</v>
      </c>
      <c r="D17" s="202" t="s">
        <v>595</v>
      </c>
      <c r="E17" s="203" t="s">
        <v>594</v>
      </c>
      <c r="F17" s="202" t="s">
        <v>593</v>
      </c>
      <c r="G17" s="201" t="s">
        <v>592</v>
      </c>
      <c r="H17" s="200" t="s">
        <v>546</v>
      </c>
      <c r="I17" s="199" t="s">
        <v>591</v>
      </c>
      <c r="J17" s="198" t="s">
        <v>590</v>
      </c>
      <c r="K17" s="197"/>
      <c r="L17" s="196"/>
      <c r="AF17" s="210"/>
      <c r="AG17" s="209"/>
      <c r="AH17" s="208"/>
      <c r="AI17" s="207"/>
      <c r="AJ17" s="206"/>
    </row>
    <row r="18" spans="1:36" ht="23.25" thickBot="1" x14ac:dyDescent="0.25">
      <c r="A18" s="205" t="s">
        <v>589</v>
      </c>
      <c r="B18" s="204" t="s">
        <v>588</v>
      </c>
      <c r="C18" s="204" t="s">
        <v>587</v>
      </c>
      <c r="D18" s="202" t="s">
        <v>586</v>
      </c>
      <c r="E18" s="203" t="s">
        <v>585</v>
      </c>
      <c r="F18" s="202" t="s">
        <v>584</v>
      </c>
      <c r="G18" s="201" t="s">
        <v>583</v>
      </c>
      <c r="H18" s="200" t="s">
        <v>546</v>
      </c>
      <c r="I18" s="199" t="s">
        <v>582</v>
      </c>
      <c r="J18" s="198" t="s">
        <v>581</v>
      </c>
      <c r="K18" s="197"/>
      <c r="L18" s="196"/>
      <c r="AF18" s="210"/>
      <c r="AG18" s="209"/>
      <c r="AH18" s="208"/>
      <c r="AI18" s="207"/>
      <c r="AJ18" s="206"/>
    </row>
    <row r="19" spans="1:36" ht="23.25" thickBot="1" x14ac:dyDescent="0.25">
      <c r="A19" s="205" t="s">
        <v>580</v>
      </c>
      <c r="B19" s="204" t="s">
        <v>579</v>
      </c>
      <c r="C19" s="204" t="s">
        <v>578</v>
      </c>
      <c r="D19" s="202" t="s">
        <v>577</v>
      </c>
      <c r="E19" s="203" t="s">
        <v>576</v>
      </c>
      <c r="F19" s="202" t="s">
        <v>575</v>
      </c>
      <c r="G19" s="201" t="s">
        <v>574</v>
      </c>
      <c r="H19" s="200" t="s">
        <v>546</v>
      </c>
      <c r="I19" s="199" t="s">
        <v>573</v>
      </c>
      <c r="J19" s="198" t="s">
        <v>572</v>
      </c>
      <c r="K19" s="197"/>
      <c r="L19" s="196"/>
      <c r="AF19" s="210"/>
      <c r="AG19" s="209"/>
      <c r="AH19" s="208"/>
      <c r="AI19" s="207"/>
      <c r="AJ19" s="206"/>
    </row>
    <row r="20" spans="1:36" ht="33.75" x14ac:dyDescent="0.2">
      <c r="A20" s="205" t="s">
        <v>571</v>
      </c>
      <c r="B20" s="204" t="s">
        <v>570</v>
      </c>
      <c r="C20" s="204" t="s">
        <v>570</v>
      </c>
      <c r="D20" s="202" t="s">
        <v>569</v>
      </c>
      <c r="E20" s="203" t="s">
        <v>568</v>
      </c>
      <c r="F20" s="202" t="s">
        <v>567</v>
      </c>
      <c r="G20" s="201" t="s">
        <v>566</v>
      </c>
      <c r="H20" s="200" t="s">
        <v>546</v>
      </c>
      <c r="I20" s="199" t="s">
        <v>565</v>
      </c>
      <c r="J20" s="199" t="s">
        <v>564</v>
      </c>
      <c r="K20" s="197"/>
      <c r="L20" s="196"/>
    </row>
    <row r="21" spans="1:36" ht="33.75" x14ac:dyDescent="0.2">
      <c r="A21" s="205" t="s">
        <v>563</v>
      </c>
      <c r="B21" s="204" t="s">
        <v>562</v>
      </c>
      <c r="C21" s="204" t="s">
        <v>561</v>
      </c>
      <c r="D21" s="202" t="s">
        <v>560</v>
      </c>
      <c r="E21" s="203" t="s">
        <v>559</v>
      </c>
      <c r="F21" s="202" t="s">
        <v>558</v>
      </c>
      <c r="G21" s="201" t="s">
        <v>557</v>
      </c>
      <c r="H21" s="200" t="s">
        <v>556</v>
      </c>
      <c r="I21" s="199" t="s">
        <v>555</v>
      </c>
      <c r="J21" s="198" t="s">
        <v>554</v>
      </c>
      <c r="K21" s="197"/>
      <c r="L21" s="196"/>
    </row>
    <row r="22" spans="1:36" ht="33.75" x14ac:dyDescent="0.2">
      <c r="A22" s="205" t="s">
        <v>553</v>
      </c>
      <c r="B22" s="204" t="s">
        <v>552</v>
      </c>
      <c r="C22" s="204" t="s">
        <v>551</v>
      </c>
      <c r="D22" s="202" t="s">
        <v>550</v>
      </c>
      <c r="E22" s="203" t="s">
        <v>549</v>
      </c>
      <c r="F22" s="202" t="s">
        <v>548</v>
      </c>
      <c r="G22" s="201" t="s">
        <v>547</v>
      </c>
      <c r="H22" s="200" t="s">
        <v>546</v>
      </c>
      <c r="I22" s="199" t="s">
        <v>545</v>
      </c>
      <c r="J22" s="198" t="s">
        <v>544</v>
      </c>
      <c r="K22" s="197"/>
      <c r="L22" s="196"/>
    </row>
    <row r="23" spans="1:36" hidden="1" x14ac:dyDescent="0.2">
      <c r="A23" s="205"/>
      <c r="B23" s="204"/>
      <c r="C23" s="204"/>
      <c r="D23" s="202"/>
      <c r="E23" s="203"/>
      <c r="F23" s="202"/>
      <c r="G23" s="201"/>
      <c r="H23" s="200"/>
      <c r="I23" s="199"/>
      <c r="J23" s="198"/>
      <c r="K23" s="197"/>
      <c r="L23" s="196"/>
    </row>
    <row r="24" spans="1:36" hidden="1" x14ac:dyDescent="0.2">
      <c r="A24" s="205"/>
      <c r="B24" s="204"/>
      <c r="C24" s="204"/>
      <c r="D24" s="202"/>
      <c r="E24" s="203"/>
      <c r="F24" s="202"/>
      <c r="G24" s="201"/>
      <c r="H24" s="200"/>
      <c r="I24" s="199"/>
      <c r="J24" s="198"/>
      <c r="K24" s="197"/>
      <c r="L24" s="196"/>
    </row>
    <row r="25" spans="1:36" hidden="1" x14ac:dyDescent="0.2">
      <c r="A25" s="205"/>
      <c r="B25" s="204"/>
      <c r="C25" s="204"/>
      <c r="D25" s="202"/>
      <c r="E25" s="203"/>
      <c r="F25" s="202"/>
      <c r="G25" s="201"/>
      <c r="H25" s="200"/>
      <c r="I25" s="199"/>
      <c r="J25" s="198"/>
      <c r="K25" s="197"/>
      <c r="L25" s="196"/>
    </row>
    <row r="26" spans="1:36" hidden="1" x14ac:dyDescent="0.2">
      <c r="A26" s="205"/>
      <c r="B26" s="204"/>
      <c r="C26" s="204"/>
      <c r="D26" s="202"/>
      <c r="E26" s="203"/>
      <c r="F26" s="202"/>
      <c r="G26" s="201"/>
      <c r="H26" s="200"/>
      <c r="I26" s="199"/>
      <c r="J26" s="198"/>
      <c r="K26" s="197"/>
      <c r="L26" s="196"/>
    </row>
    <row r="27" spans="1:36" hidden="1" x14ac:dyDescent="0.2">
      <c r="A27" s="205"/>
      <c r="B27" s="204"/>
      <c r="C27" s="204"/>
      <c r="D27" s="202"/>
      <c r="E27" s="203"/>
      <c r="F27" s="202"/>
      <c r="G27" s="201"/>
      <c r="H27" s="200"/>
      <c r="I27" s="199"/>
      <c r="J27" s="198"/>
      <c r="K27" s="197"/>
      <c r="L27" s="196"/>
    </row>
  </sheetData>
  <mergeCells count="11">
    <mergeCell ref="AI1:AJ1"/>
    <mergeCell ref="I6:I7"/>
    <mergeCell ref="J6:J7"/>
    <mergeCell ref="L6:L7"/>
    <mergeCell ref="AF1:AG1"/>
    <mergeCell ref="H6:H7"/>
    <mergeCell ref="A1:G3"/>
    <mergeCell ref="A4:G5"/>
    <mergeCell ref="A6:A7"/>
    <mergeCell ref="G6:G7"/>
    <mergeCell ref="D6:F6"/>
  </mergeCells>
  <conditionalFormatting sqref="L8:L27">
    <cfRule type="cellIs" dxfId="5" priority="1" stopIfTrue="1" operator="between">
      <formula>0.005</formula>
      <formula>0.04</formula>
    </cfRule>
    <cfRule type="cellIs" dxfId="4" priority="2" stopIfTrue="1" operator="between">
      <formula>0.05</formula>
      <formula>0.17</formula>
    </cfRule>
    <cfRule type="cellIs" dxfId="3" priority="3" stopIfTrue="1" operator="between">
      <formula>0.18</formula>
      <formula>0.81</formula>
    </cfRule>
  </conditionalFormatting>
  <dataValidations count="1">
    <dataValidation type="list" allowBlank="1" showInputMessage="1" showErrorMessage="1" sqref="H8:H27" xr:uid="{10474B67-DF88-4910-8D9B-4DBBFA9F3699}">
      <formula1>"Evitar,Transferir,Mitigar,Aceitar"</formula1>
    </dataValidation>
  </dataValidations>
  <pageMargins left="0.39370078740157483" right="0.39370078740157483" top="0.39370078740157483" bottom="0.39370078740157483" header="0.31496062992125984" footer="0.31496062992125984"/>
  <pageSetup paperSize="9" scale="82" fitToHeight="3" orientation="landscape" r:id="rId1"/>
  <headerFooter alignWithMargins="0">
    <oddFooter>&amp;R&amp;D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EC105-3226-4EB7-89BB-95A6D19C922D}">
  <sheetPr codeName="Plan2">
    <pageSetUpPr fitToPage="1"/>
  </sheetPr>
  <dimension ref="A1:AJ52"/>
  <sheetViews>
    <sheetView showGridLines="0" zoomScaleNormal="100" workbookViewId="0">
      <pane xSplit="5" ySplit="7" topLeftCell="F8" activePane="bottomRight" state="frozen"/>
      <selection pane="topRight" activeCell="G1" sqref="G1"/>
      <selection pane="bottomLeft" activeCell="A5" sqref="A5"/>
      <selection pane="bottomRight" activeCell="M14" sqref="M14"/>
    </sheetView>
  </sheetViews>
  <sheetFormatPr defaultRowHeight="11.25" x14ac:dyDescent="0.2"/>
  <cols>
    <col min="1" max="1" width="4.7109375" style="192" customWidth="1"/>
    <col min="2" max="2" width="18.28515625" style="192" customWidth="1"/>
    <col min="3" max="3" width="17.7109375" style="195" customWidth="1"/>
    <col min="4" max="4" width="22.5703125" style="192" customWidth="1"/>
    <col min="5" max="5" width="9.5703125" style="194" customWidth="1"/>
    <col min="6" max="6" width="17.140625" style="195" customWidth="1"/>
    <col min="7" max="7" width="13.140625" style="194" customWidth="1"/>
    <col min="8" max="8" width="14.28515625" style="194" customWidth="1"/>
    <col min="9" max="9" width="10" style="194" customWidth="1"/>
    <col min="10" max="10" width="11.5703125" style="194" customWidth="1"/>
    <col min="11" max="11" width="11" style="192" customWidth="1"/>
    <col min="12" max="12" width="17.42578125" style="192" hidden="1" customWidth="1"/>
    <col min="13" max="13" width="11.7109375" style="192" customWidth="1"/>
    <col min="14" max="15" width="9.140625" style="192"/>
    <col min="16" max="16" width="8.85546875" style="192" customWidth="1"/>
    <col min="17" max="17" width="10" style="192" customWidth="1"/>
    <col min="18" max="18" width="14.28515625" style="192" customWidth="1"/>
    <col min="19" max="16384" width="9.140625" style="192"/>
  </cols>
  <sheetData>
    <row r="1" spans="1:36" ht="13.5" customHeight="1" thickBot="1" x14ac:dyDescent="0.25">
      <c r="A1" s="249" t="s">
        <v>727</v>
      </c>
      <c r="B1" s="248"/>
      <c r="C1" s="248"/>
      <c r="D1" s="248"/>
      <c r="E1" s="248"/>
      <c r="AF1" s="254" t="s">
        <v>697</v>
      </c>
      <c r="AG1" s="253"/>
      <c r="AH1" s="41"/>
      <c r="AI1" s="252" t="s">
        <v>696</v>
      </c>
      <c r="AJ1" s="251"/>
    </row>
    <row r="2" spans="1:36" ht="24" customHeight="1" thickBot="1" x14ac:dyDescent="0.25">
      <c r="A2" s="249"/>
      <c r="B2" s="248"/>
      <c r="C2" s="248"/>
      <c r="D2" s="248"/>
      <c r="E2" s="248"/>
      <c r="K2" s="283" t="s">
        <v>726</v>
      </c>
      <c r="L2" s="282"/>
      <c r="M2" s="282">
        <v>10000</v>
      </c>
      <c r="N2" s="281" t="s">
        <v>725</v>
      </c>
      <c r="AF2" s="243"/>
      <c r="AG2" s="242"/>
      <c r="AH2" s="41"/>
      <c r="AI2" s="241"/>
      <c r="AJ2" s="240"/>
    </row>
    <row r="3" spans="1:36" ht="23.25" customHeight="1" x14ac:dyDescent="0.2">
      <c r="A3" s="249"/>
      <c r="B3" s="248"/>
      <c r="C3" s="248"/>
      <c r="D3" s="248"/>
      <c r="E3" s="248"/>
      <c r="K3" s="280" t="s">
        <v>724</v>
      </c>
      <c r="L3" s="279"/>
      <c r="M3" s="279">
        <v>30</v>
      </c>
      <c r="N3" s="278" t="s">
        <v>723</v>
      </c>
      <c r="AF3" s="243"/>
      <c r="AG3" s="242"/>
      <c r="AH3" s="41"/>
      <c r="AI3" s="241"/>
      <c r="AJ3" s="240"/>
    </row>
    <row r="4" spans="1:36" ht="22.5" customHeight="1" x14ac:dyDescent="0.2">
      <c r="A4" s="249" t="str">
        <f>Identificar!A4</f>
        <v>[sigla do projeto] - Nome do Projeto</v>
      </c>
      <c r="B4" s="248"/>
      <c r="C4" s="248"/>
      <c r="D4" s="248"/>
      <c r="E4" s="248"/>
      <c r="AF4" s="243"/>
      <c r="AG4" s="242"/>
      <c r="AH4" s="41"/>
      <c r="AI4" s="241"/>
      <c r="AJ4" s="240"/>
    </row>
    <row r="5" spans="1:36" ht="26.25" thickBot="1" x14ac:dyDescent="0.25">
      <c r="A5" s="239"/>
      <c r="B5" s="238"/>
      <c r="C5" s="238"/>
      <c r="D5" s="238"/>
      <c r="E5" s="238"/>
      <c r="I5" s="192"/>
      <c r="AF5" s="234" t="s">
        <v>695</v>
      </c>
      <c r="AG5" s="233">
        <v>1</v>
      </c>
      <c r="AH5" s="41"/>
      <c r="AI5" s="234" t="s">
        <v>694</v>
      </c>
      <c r="AJ5" s="233">
        <v>1</v>
      </c>
    </row>
    <row r="6" spans="1:36" ht="26.25" thickBot="1" x14ac:dyDescent="0.25">
      <c r="A6" s="232" t="s">
        <v>334</v>
      </c>
      <c r="B6" s="230" t="s">
        <v>692</v>
      </c>
      <c r="C6" s="229"/>
      <c r="D6" s="228"/>
      <c r="E6" s="227" t="s">
        <v>691</v>
      </c>
      <c r="F6" s="277" t="s">
        <v>722</v>
      </c>
      <c r="G6" s="276" t="s">
        <v>721</v>
      </c>
      <c r="H6" s="275"/>
      <c r="I6" s="275"/>
      <c r="J6" s="274"/>
      <c r="K6" s="223" t="s">
        <v>720</v>
      </c>
      <c r="L6" s="224"/>
      <c r="M6" s="223" t="s">
        <v>665</v>
      </c>
      <c r="N6" s="223" t="s">
        <v>719</v>
      </c>
      <c r="AF6" s="213" t="s">
        <v>686</v>
      </c>
      <c r="AG6" s="212">
        <v>2</v>
      </c>
      <c r="AH6" s="41"/>
      <c r="AI6" s="213" t="s">
        <v>685</v>
      </c>
      <c r="AJ6" s="212">
        <v>2</v>
      </c>
    </row>
    <row r="7" spans="1:36" s="211" customFormat="1" ht="34.5" thickBot="1" x14ac:dyDescent="0.25">
      <c r="A7" s="222"/>
      <c r="B7" s="220" t="s">
        <v>683</v>
      </c>
      <c r="C7" s="220" t="s">
        <v>682</v>
      </c>
      <c r="D7" s="219" t="s">
        <v>718</v>
      </c>
      <c r="E7" s="218"/>
      <c r="F7" s="273"/>
      <c r="G7" s="272" t="s">
        <v>717</v>
      </c>
      <c r="H7" s="271" t="s">
        <v>716</v>
      </c>
      <c r="I7" s="271" t="s">
        <v>715</v>
      </c>
      <c r="J7" s="270" t="s">
        <v>714</v>
      </c>
      <c r="K7" s="214"/>
      <c r="L7" s="215" t="s">
        <v>680</v>
      </c>
      <c r="M7" s="269"/>
      <c r="N7" s="214"/>
      <c r="AF7" s="213" t="s">
        <v>679</v>
      </c>
      <c r="AG7" s="212">
        <v>3</v>
      </c>
      <c r="AH7" s="41"/>
      <c r="AI7" s="213" t="s">
        <v>678</v>
      </c>
      <c r="AJ7" s="212">
        <v>3</v>
      </c>
    </row>
    <row r="8" spans="1:36" ht="56.25" x14ac:dyDescent="0.2">
      <c r="A8" s="205" t="str">
        <f>IF(Identificar!A8&lt;&gt;"",Identificar!A8,"")</f>
        <v>R01</v>
      </c>
      <c r="B8" s="205" t="str">
        <f>IF(Identificar!D8&lt;&gt;"",Identificar!D8,"")</f>
        <v>Contratação tardia de equipe técnica</v>
      </c>
      <c r="C8" s="205" t="str">
        <f>IF(Identificar!E8&lt;&gt;"",Identificar!E8,"")</f>
        <v>Atraso no início do desenvolvimento</v>
      </c>
      <c r="D8" s="205" t="str">
        <f>IF(Identificar!F8&lt;&gt;"",Identificar!F8,"")</f>
        <v>Deslizamento de marcos e compressão do cronograma</v>
      </c>
      <c r="E8" s="205" t="str">
        <f>IF(Identificar!G8&lt;&gt;"",Identificar!G8,"")</f>
        <v>Replanejar marcos e realocar atividades não críticas</v>
      </c>
      <c r="F8" s="267" t="s">
        <v>702</v>
      </c>
      <c r="G8" s="266" t="s">
        <v>710</v>
      </c>
      <c r="H8" s="265" t="s">
        <v>703</v>
      </c>
      <c r="I8" s="264">
        <f>IF(G8&lt;&gt;"",IF(H8&lt;&gt;"",RIGHT(G8,4)*RIGHT(H8,4),""),"")</f>
        <v>2.64</v>
      </c>
      <c r="J8" s="263" t="str">
        <f>IF(I8&lt;&gt;"",VLOOKUP(I8,'[4]Sensibilidade ao Risco'!$E$2:$F$30,2,FALSE),"")</f>
        <v>Alta - 0,40</v>
      </c>
      <c r="K8" s="204">
        <f>IF(F8&lt;&gt;"",IF(J8&lt;&gt;"",(RIGHT(J8,3))*(RIGHT(F8,3)),""),"")</f>
        <v>0.16000000000000003</v>
      </c>
      <c r="L8" s="268" t="s">
        <v>670</v>
      </c>
      <c r="M8" s="262">
        <f>ROUNDUP('Quantificar '!G8/Qualificar!$M$2,2)</f>
        <v>1.2</v>
      </c>
      <c r="N8" s="262">
        <f>ROUNDUP('Quantificar '!H8/Qualificar!$M$3,2)</f>
        <v>0.67</v>
      </c>
      <c r="AF8" s="207" t="s">
        <v>669</v>
      </c>
      <c r="AG8" s="206">
        <v>4</v>
      </c>
      <c r="AH8" s="208"/>
      <c r="AI8" s="207" t="s">
        <v>668</v>
      </c>
      <c r="AJ8" s="206">
        <v>4</v>
      </c>
    </row>
    <row r="9" spans="1:36" ht="57" thickBot="1" x14ac:dyDescent="0.25">
      <c r="A9" s="205" t="str">
        <f>IF(Identificar!A9&lt;&gt;"",Identificar!A9,"")</f>
        <v>R02</v>
      </c>
      <c r="B9" s="205" t="str">
        <f>IF(Identificar!D9&lt;&gt;"",Identificar!D9,"")</f>
        <v>Reajustes contratuais e variação cambial</v>
      </c>
      <c r="C9" s="205" t="str">
        <f>IF(Identificar!E9&lt;&gt;"",Identificar!E9,"")</f>
        <v>Estouro de orçamento</v>
      </c>
      <c r="D9" s="205" t="str">
        <f>IF(Identificar!F9&lt;&gt;"",Identificar!F9,"")</f>
        <v>Redução de escopo e contingenciamento</v>
      </c>
      <c r="E9" s="205" t="str">
        <f>IF(Identificar!G9&lt;&gt;"",Identificar!G9,"")</f>
        <v>Repriorizar entregas, acionar reserva gerencial</v>
      </c>
      <c r="F9" s="267" t="s">
        <v>705</v>
      </c>
      <c r="G9" s="266" t="s">
        <v>707</v>
      </c>
      <c r="H9" s="265" t="s">
        <v>703</v>
      </c>
      <c r="I9" s="264">
        <f>IF(G9&lt;&gt;"",IF(H9&lt;&gt;"",RIGHT(G9,4)*RIGHT(H9,4),""),"")</f>
        <v>2.88</v>
      </c>
      <c r="J9" s="263" t="str">
        <f>IF(I9&lt;&gt;"",VLOOKUP(I9,'[4]Sensibilidade ao Risco'!$E$2:$F$30,2,FALSE),"")</f>
        <v>Alta - 0,40</v>
      </c>
      <c r="K9" s="204">
        <f>IF(F9&lt;&gt;"",IF(J9&lt;&gt;"",(RIGHT(J9,3))*(RIGHT(F9,3)),""),"")</f>
        <v>8.0000000000000016E-2</v>
      </c>
      <c r="L9" s="197"/>
      <c r="M9" s="262">
        <f>ROUNDUP('Quantificar '!G9/Qualificar!$M$2,2)</f>
        <v>1</v>
      </c>
      <c r="N9" s="262" t="e">
        <f>ROUNDUP('Quantificar '!H9/Qualificar!$M$3,2)</f>
        <v>#VALUE!</v>
      </c>
      <c r="AF9" s="210"/>
      <c r="AG9" s="209"/>
      <c r="AH9" s="208"/>
      <c r="AI9" s="207"/>
      <c r="AJ9" s="206"/>
    </row>
    <row r="10" spans="1:36" ht="57" thickBot="1" x14ac:dyDescent="0.25">
      <c r="A10" s="205" t="str">
        <f>IF(Identificar!A10&lt;&gt;"",Identificar!A10,"")</f>
        <v>R03</v>
      </c>
      <c r="B10" s="205" t="str">
        <f>IF(Identificar!D10&lt;&gt;"",Identificar!D10,"")</f>
        <v>Janela de testes comprimida</v>
      </c>
      <c r="C10" s="205" t="str">
        <f>IF(Identificar!E10&lt;&gt;"",Identificar!E10,"")</f>
        <v>Defeitos críticos em produção</v>
      </c>
      <c r="D10" s="205" t="str">
        <f>IF(Identificar!F10&lt;&gt;"",Identificar!F10,"")</f>
        <v>Retrabalho e custos adicionais</v>
      </c>
      <c r="E10" s="205" t="str">
        <f>IF(Identificar!G10&lt;&gt;"",Identificar!G10,"")</f>
        <v>Gate Go/No-Go até sanar defeitos críticos</v>
      </c>
      <c r="F10" s="267" t="s">
        <v>702</v>
      </c>
      <c r="G10" s="266" t="s">
        <v>710</v>
      </c>
      <c r="H10" s="265" t="s">
        <v>706</v>
      </c>
      <c r="I10" s="264">
        <f>IF(G10&lt;&gt;"",IF(H10&lt;&gt;"",RIGHT(G10,4)*RIGHT(H10,4),""),"")</f>
        <v>2.4200000000000004</v>
      </c>
      <c r="J10" s="263" t="str">
        <f>IF(I10&lt;&gt;"",VLOOKUP(I10,'[4]Sensibilidade ao Risco'!$E$2:$F$30,2,FALSE),"")</f>
        <v>Moderada - 0,20</v>
      </c>
      <c r="K10" s="204">
        <f>IF(F10&lt;&gt;"",IF(J10&lt;&gt;"",(RIGHT(J10,3))*(RIGHT(F10,3)),""),"")</f>
        <v>8.0000000000000016E-2</v>
      </c>
      <c r="L10" s="197"/>
      <c r="M10" s="262">
        <f>ROUNDUP('Quantificar '!G10/Qualificar!$M$2,2)</f>
        <v>1.1000000000000001</v>
      </c>
      <c r="N10" s="262">
        <f>ROUNDUP('Quantificar '!H10/Qualificar!$M$3,2)</f>
        <v>1</v>
      </c>
      <c r="AF10" s="210"/>
      <c r="AG10" s="209"/>
      <c r="AH10" s="208"/>
      <c r="AI10" s="207"/>
      <c r="AJ10" s="206"/>
    </row>
    <row r="11" spans="1:36" ht="45.75" thickBot="1" x14ac:dyDescent="0.25">
      <c r="A11" s="205" t="str">
        <f>IF(Identificar!A11&lt;&gt;"",Identificar!A11,"")</f>
        <v>R04</v>
      </c>
      <c r="B11" s="205" t="str">
        <f>IF(Identificar!D11&lt;&gt;"",Identificar!D11,"")</f>
        <v>Ausências e rotatividade</v>
      </c>
      <c r="C11" s="205" t="str">
        <f>IF(Identificar!E11&lt;&gt;"",Identificar!E11,"")</f>
        <v>Indisponibilidade de recursos-chave</v>
      </c>
      <c r="D11" s="205" t="str">
        <f>IF(Identificar!F11&lt;&gt;"",Identificar!F11,"")</f>
        <v>Queda de produtividade e atrasos</v>
      </c>
      <c r="E11" s="205" t="str">
        <f>IF(Identificar!G11&lt;&gt;"",Identificar!G11,"")</f>
        <v>Replanejar sprints e redistribuir tarefas</v>
      </c>
      <c r="F11" s="267" t="s">
        <v>702</v>
      </c>
      <c r="G11" s="266" t="s">
        <v>710</v>
      </c>
      <c r="H11" s="265" t="s">
        <v>709</v>
      </c>
      <c r="I11" s="264">
        <f>IF(G11&lt;&gt;"",IF(H11&lt;&gt;"",RIGHT(G11,4)*RIGHT(H11,4),""),"")</f>
        <v>2.3100000000000005</v>
      </c>
      <c r="J11" s="263" t="str">
        <f>IF(I11&lt;&gt;"",VLOOKUP(I11,'[4]Sensibilidade ao Risco'!$E$2:$F$30,2,FALSE),"")</f>
        <v>Baixa - 0,10</v>
      </c>
      <c r="K11" s="204">
        <f>IF(F11&lt;&gt;"",IF(J11&lt;&gt;"",(RIGHT(J11,3))*(RIGHT(F11,3)),""),"")</f>
        <v>4.0000000000000008E-2</v>
      </c>
      <c r="L11" s="197"/>
      <c r="M11" s="262">
        <f>ROUNDUP('Quantificar '!G11/Qualificar!$M$2,2)</f>
        <v>0.4</v>
      </c>
      <c r="N11" s="262" t="e">
        <f>ROUNDUP('Quantificar '!H11/Qualificar!$M$3,2)</f>
        <v>#VALUE!</v>
      </c>
      <c r="AF11" s="210"/>
      <c r="AG11" s="209"/>
      <c r="AH11" s="208"/>
      <c r="AI11" s="207"/>
      <c r="AJ11" s="206"/>
    </row>
    <row r="12" spans="1:36" ht="45.75" thickBot="1" x14ac:dyDescent="0.25">
      <c r="A12" s="205" t="str">
        <f>IF(Identificar!A12&lt;&gt;"",Identificar!A12,"")</f>
        <v>R05</v>
      </c>
      <c r="B12" s="205" t="str">
        <f>IF(Identificar!D12&lt;&gt;"",Identificar!D12,"")</f>
        <v>SLA de terceiro apertado</v>
      </c>
      <c r="C12" s="205" t="str">
        <f>IF(Identificar!E12&lt;&gt;"",Identificar!E12,"")</f>
        <v>Atraso em componentes de integração</v>
      </c>
      <c r="D12" s="205" t="str">
        <f>IF(Identificar!F12&lt;&gt;"",Identificar!F12,"")</f>
        <v>Bloqueio de integrações e marcos</v>
      </c>
      <c r="E12" s="205" t="str">
        <f>IF(Identificar!G12&lt;&gt;"",Identificar!G12,"")</f>
        <v>Paralelizar tarefas independentes</v>
      </c>
      <c r="F12" s="267" t="s">
        <v>702</v>
      </c>
      <c r="G12" s="266" t="s">
        <v>713</v>
      </c>
      <c r="H12" s="265" t="s">
        <v>703</v>
      </c>
      <c r="I12" s="264">
        <f>IF(G12&lt;&gt;"",IF(H12&lt;&gt;"",RIGHT(G12,4)*RIGHT(H12,4),""),"")</f>
        <v>2.52</v>
      </c>
      <c r="J12" s="263" t="str">
        <f>IF(I12&lt;&gt;"",VLOOKUP(I12,'[4]Sensibilidade ao Risco'!$E$2:$F$30,2,FALSE),"")</f>
        <v>Moderada - 0,20</v>
      </c>
      <c r="K12" s="204">
        <f>IF(F12&lt;&gt;"",IF(J12&lt;&gt;"",(RIGHT(J12,3))*(RIGHT(F12,3)),""),"")</f>
        <v>8.0000000000000016E-2</v>
      </c>
      <c r="L12" s="197"/>
      <c r="M12" s="262">
        <f>ROUNDUP('Quantificar '!G12/Qualificar!$M$2,2)</f>
        <v>1.2</v>
      </c>
      <c r="N12" s="262" t="e">
        <f>ROUNDUP('Quantificar '!H12/Qualificar!$M$3,2)</f>
        <v>#VALUE!</v>
      </c>
      <c r="AF12" s="210"/>
      <c r="AG12" s="209"/>
      <c r="AH12" s="208"/>
      <c r="AI12" s="207"/>
      <c r="AJ12" s="206"/>
    </row>
    <row r="13" spans="1:36" ht="45.75" thickBot="1" x14ac:dyDescent="0.25">
      <c r="A13" s="205" t="str">
        <f>IF(Identificar!A13&lt;&gt;"",Identificar!A13,"")</f>
        <v>R06</v>
      </c>
      <c r="B13" s="205" t="str">
        <f>IF(Identificar!D13&lt;&gt;"",Identificar!D13,"")</f>
        <v>Novas demandas</v>
      </c>
      <c r="C13" s="205" t="str">
        <f>IF(Identificar!E13&lt;&gt;"",Identificar!E13,"")</f>
        <v>Aumento de escopo</v>
      </c>
      <c r="D13" s="205" t="str">
        <f>IF(Identificar!F13&lt;&gt;"",Identificar!F13,"")</f>
        <v>Pressão em prazo e custo</v>
      </c>
      <c r="E13" s="205" t="str">
        <f>IF(Identificar!G13&lt;&gt;"",Identificar!G13,"")</f>
        <v>Acionar CCB e repriorizar backlog</v>
      </c>
      <c r="F13" s="267" t="s">
        <v>699</v>
      </c>
      <c r="G13" s="266" t="s">
        <v>704</v>
      </c>
      <c r="H13" s="265" t="s">
        <v>700</v>
      </c>
      <c r="I13" s="264">
        <f>IF(G13&lt;&gt;"",IF(H13&lt;&gt;"",RIGHT(G13,4)*RIGHT(H13,4),""),"")</f>
        <v>3.9199999999999995</v>
      </c>
      <c r="J13" s="263" t="str">
        <f>IF(I13&lt;&gt;"",VLOOKUP(I13,'[4]Sensibilidade ao Risco'!$E$2:$F$30,2,FALSE),"")</f>
        <v>Muito Alta - 0,80</v>
      </c>
      <c r="K13" s="204">
        <f>IF(F13&lt;&gt;"",IF(J13&lt;&gt;"",(RIGHT(J13,3))*(RIGHT(F13,3)),""),"")</f>
        <v>0.64000000000000012</v>
      </c>
      <c r="L13" s="197"/>
      <c r="M13" s="262">
        <f>ROUNDUP('Quantificar '!G13/Qualificar!$M$2,2)</f>
        <v>1.8</v>
      </c>
      <c r="N13" s="262" t="e">
        <f>ROUNDUP('Quantificar '!H13/Qualificar!$M$3,2)</f>
        <v>#VALUE!</v>
      </c>
      <c r="AF13" s="210"/>
      <c r="AG13" s="209"/>
      <c r="AH13" s="208"/>
      <c r="AI13" s="207"/>
      <c r="AJ13" s="206"/>
    </row>
    <row r="14" spans="1:36" ht="45.75" thickBot="1" x14ac:dyDescent="0.25">
      <c r="A14" s="205" t="str">
        <f>IF(Identificar!A14&lt;&gt;"",Identificar!A14,"")</f>
        <v>R07</v>
      </c>
      <c r="B14" s="205" t="str">
        <f>IF(Identificar!D14&lt;&gt;"",Identificar!D14,"")</f>
        <v>Interpretação tardia de requisitos</v>
      </c>
      <c r="C14" s="205" t="str">
        <f>IF(Identificar!E14&lt;&gt;"",Identificar!E14,"")</f>
        <v>Não conformidade regulatória</v>
      </c>
      <c r="D14" s="205" t="str">
        <f>IF(Identificar!F14&lt;&gt;"",Identificar!F14,"")</f>
        <v>Retrabalho e risco reputacional</v>
      </c>
      <c r="E14" s="205" t="str">
        <f>IF(Identificar!G14&lt;&gt;"",Identificar!G14,"")</f>
        <v>Bloquear release até conformidade</v>
      </c>
      <c r="F14" s="267" t="s">
        <v>705</v>
      </c>
      <c r="G14" s="266" t="s">
        <v>713</v>
      </c>
      <c r="H14" s="265" t="s">
        <v>709</v>
      </c>
      <c r="I14" s="264">
        <f>IF(G14&lt;&gt;"",IF(H14&lt;&gt;"",RIGHT(G14,4)*RIGHT(H14,4),""),"")</f>
        <v>2.2050000000000001</v>
      </c>
      <c r="J14" s="263" t="str">
        <f>IF(I14&lt;&gt;"",VLOOKUP(I14,'[4]Sensibilidade ao Risco'!$E$2:$F$30,2,FALSE),"")</f>
        <v>Baixa - 0,10</v>
      </c>
      <c r="K14" s="204">
        <f>IF(F14&lt;&gt;"",IF(J14&lt;&gt;"",(RIGHT(J14,3))*(RIGHT(F14,3)),""),"")</f>
        <v>2.0000000000000004E-2</v>
      </c>
      <c r="L14" s="197"/>
      <c r="M14" s="262">
        <f>ROUNDUP('Quantificar '!G14/Qualificar!$M$2,2)</f>
        <v>0.6</v>
      </c>
      <c r="N14" s="262">
        <f>ROUNDUP('Quantificar '!H14/Qualificar!$M$3,2)</f>
        <v>0.34</v>
      </c>
      <c r="AF14" s="210"/>
      <c r="AG14" s="209"/>
      <c r="AH14" s="208"/>
      <c r="AI14" s="207"/>
      <c r="AJ14" s="206"/>
    </row>
    <row r="15" spans="1:36" ht="57" thickBot="1" x14ac:dyDescent="0.25">
      <c r="A15" s="205" t="str">
        <f>IF(Identificar!A15&lt;&gt;"",Identificar!A15,"")</f>
        <v>R08</v>
      </c>
      <c r="B15" s="205" t="str">
        <f>IF(Identificar!D15&lt;&gt;"",Identificar!D15,"")</f>
        <v>Dados reais em testes; acessos excessivos</v>
      </c>
      <c r="C15" s="205" t="str">
        <f>IF(Identificar!E15&lt;&gt;"",Identificar!E15,"")</f>
        <v>Vazamento de dados</v>
      </c>
      <c r="D15" s="205" t="str">
        <f>IF(Identificar!F15&lt;&gt;"",Identificar!F15,"")</f>
        <v>Sanções e danos reputacionais</v>
      </c>
      <c r="E15" s="205" t="str">
        <f>IF(Identificar!G15&lt;&gt;"",Identificar!G15,"")</f>
        <v>Acionar resposta a incidentes; notificar DPO</v>
      </c>
      <c r="F15" s="267" t="s">
        <v>705</v>
      </c>
      <c r="G15" s="266" t="s">
        <v>710</v>
      </c>
      <c r="H15" s="265" t="s">
        <v>706</v>
      </c>
      <c r="I15" s="264">
        <f>IF(G15&lt;&gt;"",IF(H15&lt;&gt;"",RIGHT(G15,4)*RIGHT(H15,4),""),"")</f>
        <v>2.4200000000000004</v>
      </c>
      <c r="J15" s="263" t="str">
        <f>IF(I15&lt;&gt;"",VLOOKUP(I15,'[4]Sensibilidade ao Risco'!$E$2:$F$30,2,FALSE),"")</f>
        <v>Moderada - 0,20</v>
      </c>
      <c r="K15" s="204">
        <f>IF(F15&lt;&gt;"",IF(J15&lt;&gt;"",(RIGHT(J15,3))*(RIGHT(F15,3)),""),"")</f>
        <v>4.0000000000000008E-2</v>
      </c>
      <c r="L15" s="197"/>
      <c r="M15" s="262">
        <f>ROUNDUP('Quantificar '!G15/Qualificar!$M$2,2)</f>
        <v>1.4</v>
      </c>
      <c r="N15" s="262">
        <f>ROUNDUP('Quantificar '!H15/Qualificar!$M$3,2)</f>
        <v>0.5</v>
      </c>
      <c r="AF15" s="210"/>
      <c r="AG15" s="209"/>
      <c r="AH15" s="208"/>
      <c r="AI15" s="207"/>
      <c r="AJ15" s="206"/>
    </row>
    <row r="16" spans="1:36" ht="57" thickBot="1" x14ac:dyDescent="0.25">
      <c r="A16" s="205" t="str">
        <f>IF(Identificar!A16&lt;&gt;"",Identificar!A16,"")</f>
        <v>R09</v>
      </c>
      <c r="B16" s="205" t="str">
        <f>IF(Identificar!D16&lt;&gt;"",Identificar!D16,"")</f>
        <v>Requisitos ambíguos</v>
      </c>
      <c r="C16" s="205" t="str">
        <f>IF(Identificar!E16&lt;&gt;"",Identificar!E16,"")</f>
        <v>Entregas fora da necessidade do usuário</v>
      </c>
      <c r="D16" s="205" t="str">
        <f>IF(Identificar!F16&lt;&gt;"",Identificar!F16,"")</f>
        <v>Retrabalho e baixa adoção</v>
      </c>
      <c r="E16" s="205" t="str">
        <f>IF(Identificar!G16&lt;&gt;"",Identificar!G16,"")</f>
        <v>Refinamento com usuários e correções dirigidas</v>
      </c>
      <c r="F16" s="267" t="s">
        <v>702</v>
      </c>
      <c r="G16" s="266" t="s">
        <v>713</v>
      </c>
      <c r="H16" s="265" t="s">
        <v>706</v>
      </c>
      <c r="I16" s="264">
        <f>IF(G16&lt;&gt;"",IF(H16&lt;&gt;"",RIGHT(G16,4)*RIGHT(H16,4),""),"")</f>
        <v>2.3100000000000005</v>
      </c>
      <c r="J16" s="263" t="str">
        <f>IF(I16&lt;&gt;"",VLOOKUP(I16,'[4]Sensibilidade ao Risco'!$E$2:$F$30,2,FALSE),"")</f>
        <v>Baixa - 0,10</v>
      </c>
      <c r="K16" s="204">
        <f>IF(F16&lt;&gt;"",IF(J16&lt;&gt;"",(RIGHT(J16,3))*(RIGHT(F16,3)),""),"")</f>
        <v>4.0000000000000008E-2</v>
      </c>
      <c r="L16" s="197"/>
      <c r="M16" s="262">
        <f>ROUNDUP('Quantificar '!G16/Qualificar!$M$2,2)</f>
        <v>0.5</v>
      </c>
      <c r="N16" s="262">
        <f>ROUNDUP('Quantificar '!H16/Qualificar!$M$3,2)</f>
        <v>0.4</v>
      </c>
      <c r="AF16" s="210"/>
      <c r="AG16" s="209"/>
      <c r="AH16" s="208"/>
      <c r="AI16" s="207"/>
      <c r="AJ16" s="206"/>
    </row>
    <row r="17" spans="1:36" ht="34.5" thickBot="1" x14ac:dyDescent="0.25">
      <c r="A17" s="205" t="str">
        <f>IF(Identificar!A17&lt;&gt;"",Identificar!A17,"")</f>
        <v>R10</v>
      </c>
      <c r="B17" s="205" t="str">
        <f>IF(Identificar!D17&lt;&gt;"",Identificar!D17,"")</f>
        <v>Capacidade insuficiente de ambiente</v>
      </c>
      <c r="C17" s="205" t="str">
        <f>IF(Identificar!E17&lt;&gt;"",Identificar!E17,"")</f>
        <v>Degradação de performance</v>
      </c>
      <c r="D17" s="205" t="str">
        <f>IF(Identificar!F17&lt;&gt;"",Identificar!F17,"")</f>
        <v>SLA violado e insatisfação</v>
      </c>
      <c r="E17" s="205" t="str">
        <f>IF(Identificar!G17&lt;&gt;"",Identificar!G17,"")</f>
        <v>Escalar recursos; otimização</v>
      </c>
      <c r="F17" s="267" t="s">
        <v>702</v>
      </c>
      <c r="G17" s="266" t="s">
        <v>710</v>
      </c>
      <c r="H17" s="265" t="s">
        <v>706</v>
      </c>
      <c r="I17" s="264">
        <f>IF(G17&lt;&gt;"",IF(H17&lt;&gt;"",RIGHT(G17,4)*RIGHT(H17,4),""),"")</f>
        <v>2.4200000000000004</v>
      </c>
      <c r="J17" s="263" t="str">
        <f>IF(I17&lt;&gt;"",VLOOKUP(I17,'[4]Sensibilidade ao Risco'!$E$2:$F$30,2,FALSE),"")</f>
        <v>Moderada - 0,20</v>
      </c>
      <c r="K17" s="204">
        <f>IF(F17&lt;&gt;"",IF(J17&lt;&gt;"",(RIGHT(J17,3))*(RIGHT(F17,3)),""),"")</f>
        <v>8.0000000000000016E-2</v>
      </c>
      <c r="L17" s="197"/>
      <c r="M17" s="262">
        <f>ROUNDUP('Quantificar '!G17/Qualificar!$M$2,2)</f>
        <v>0.9</v>
      </c>
      <c r="N17" s="262">
        <f>ROUNDUP('Quantificar '!H17/Qualificar!$M$3,2)</f>
        <v>0.5</v>
      </c>
      <c r="AF17" s="210"/>
      <c r="AG17" s="209"/>
      <c r="AH17" s="208"/>
      <c r="AI17" s="207"/>
      <c r="AJ17" s="206"/>
    </row>
    <row r="18" spans="1:36" ht="34.5" thickBot="1" x14ac:dyDescent="0.25">
      <c r="A18" s="205" t="str">
        <f>IF(Identificar!A18&lt;&gt;"",Identificar!A18,"")</f>
        <v>R11</v>
      </c>
      <c r="B18" s="205" t="str">
        <f>IF(Identificar!D18&lt;&gt;"",Identificar!D18,"")</f>
        <v>Capacitação insuficiente dos usuários</v>
      </c>
      <c r="C18" s="205" t="str">
        <f>IF(Identificar!E18&lt;&gt;"",Identificar!E18,"")</f>
        <v>Baixa adoção do sistema</v>
      </c>
      <c r="D18" s="205" t="str">
        <f>IF(Identificar!F18&lt;&gt;"",Identificar!F18,"")</f>
        <v>Queda de valor percebido</v>
      </c>
      <c r="E18" s="205" t="str">
        <f>IF(Identificar!G18&lt;&gt;"",Identificar!G18,"")</f>
        <v>Capacitação extra pós-go-live</v>
      </c>
      <c r="F18" s="267" t="s">
        <v>702</v>
      </c>
      <c r="G18" s="266" t="s">
        <v>707</v>
      </c>
      <c r="H18" s="265" t="s">
        <v>703</v>
      </c>
      <c r="I18" s="264">
        <f>IF(G18&lt;&gt;"",IF(H18&lt;&gt;"",RIGHT(G18,4)*RIGHT(H18,4),""),"")</f>
        <v>2.88</v>
      </c>
      <c r="J18" s="263" t="str">
        <f>IF(I18&lt;&gt;"",VLOOKUP(I18,'[4]Sensibilidade ao Risco'!$E$2:$F$30,2,FALSE),"")</f>
        <v>Alta - 0,40</v>
      </c>
      <c r="K18" s="204">
        <f>IF(F18&lt;&gt;"",IF(J18&lt;&gt;"",(RIGHT(J18,3))*(RIGHT(F18,3)),""),"")</f>
        <v>0.16000000000000003</v>
      </c>
      <c r="L18" s="197"/>
      <c r="M18" s="262">
        <f>ROUNDUP('Quantificar '!G18/Qualificar!$M$2,2)</f>
        <v>0.3</v>
      </c>
      <c r="N18" s="262">
        <f>ROUNDUP('Quantificar '!H18/Qualificar!$M$3,2)</f>
        <v>0.34</v>
      </c>
      <c r="AF18" s="210"/>
      <c r="AG18" s="209"/>
      <c r="AH18" s="208"/>
      <c r="AI18" s="207"/>
      <c r="AJ18" s="206"/>
    </row>
    <row r="19" spans="1:36" ht="45.75" thickBot="1" x14ac:dyDescent="0.25">
      <c r="A19" s="205" t="str">
        <f>IF(Identificar!A19&lt;&gt;"",Identificar!A19,"")</f>
        <v>R12</v>
      </c>
      <c r="B19" s="205" t="str">
        <f>IF(Identificar!D19&lt;&gt;"",Identificar!D19,"")</f>
        <v>Inconsistências na migração</v>
      </c>
      <c r="C19" s="205" t="str">
        <f>IF(Identificar!E19&lt;&gt;"",Identificar!E19,"")</f>
        <v>Erros operacionais pós-go-live</v>
      </c>
      <c r="D19" s="205" t="str">
        <f>IF(Identificar!F19&lt;&gt;"",Identificar!F19,"")</f>
        <v>Interrupções e retrabalho</v>
      </c>
      <c r="E19" s="205" t="str">
        <f>IF(Identificar!G19&lt;&gt;"",Identificar!G19,"")</f>
        <v>Rollback parcial e correção dirigida</v>
      </c>
      <c r="F19" s="267" t="s">
        <v>702</v>
      </c>
      <c r="G19" s="266" t="s">
        <v>707</v>
      </c>
      <c r="H19" s="265" t="s">
        <v>703</v>
      </c>
      <c r="I19" s="264">
        <f>IF(G19&lt;&gt;"",IF(H19&lt;&gt;"",RIGHT(G19,4)*RIGHT(H19,4),""),"")</f>
        <v>2.88</v>
      </c>
      <c r="J19" s="263" t="str">
        <f>IF(I19&lt;&gt;"",VLOOKUP(I19,'[4]Sensibilidade ao Risco'!$E$2:$F$30,2,FALSE),"")</f>
        <v>Alta - 0,40</v>
      </c>
      <c r="K19" s="204">
        <f>IF(F19&lt;&gt;"",IF(J19&lt;&gt;"",(RIGHT(J19,3))*(RIGHT(F19,3)),""),"")</f>
        <v>0.16000000000000003</v>
      </c>
      <c r="L19" s="197"/>
      <c r="M19" s="262">
        <f>ROUNDUP('Quantificar '!G19/Qualificar!$M$2,2)</f>
        <v>1.2</v>
      </c>
      <c r="N19" s="262">
        <f>ROUNDUP('Quantificar '!H19/Qualificar!$M$3,2)</f>
        <v>0.67</v>
      </c>
      <c r="AF19" s="210"/>
      <c r="AG19" s="209"/>
      <c r="AH19" s="208"/>
      <c r="AI19" s="207"/>
      <c r="AJ19" s="206"/>
    </row>
    <row r="20" spans="1:36" ht="45" x14ac:dyDescent="0.2">
      <c r="A20" s="205" t="str">
        <f>IF(Identificar!A20&lt;&gt;"",Identificar!A20,"")</f>
        <v>R13</v>
      </c>
      <c r="B20" s="205" t="str">
        <f>IF(Identificar!D20&lt;&gt;"",Identificar!D20,"")</f>
        <v>Falhas de alinhamento entre times</v>
      </c>
      <c r="C20" s="205" t="str">
        <f>IF(Identificar!E20&lt;&gt;"",Identificar!E20,"")</f>
        <v>Decisões conflitantes e retrabalho</v>
      </c>
      <c r="D20" s="205" t="str">
        <f>IF(Identificar!F20&lt;&gt;"",Identificar!F20,"")</f>
        <v>Atrasos e perda de foco</v>
      </c>
      <c r="E20" s="205" t="str">
        <f>IF(Identificar!G20&lt;&gt;"",Identificar!G20,"")</f>
        <v>Ritual extraordinário de alinhamento</v>
      </c>
      <c r="F20" s="267" t="s">
        <v>702</v>
      </c>
      <c r="G20" s="266" t="s">
        <v>710</v>
      </c>
      <c r="H20" s="265" t="s">
        <v>706</v>
      </c>
      <c r="I20" s="264">
        <f>IF(G20&lt;&gt;"",IF(H20&lt;&gt;"",RIGHT(G20,4)*RIGHT(H20,4),""),"")</f>
        <v>2.4200000000000004</v>
      </c>
      <c r="J20" s="263" t="str">
        <f>IF(I20&lt;&gt;"",VLOOKUP(I20,'[4]Sensibilidade ao Risco'!$E$2:$F$30,2,FALSE),"")</f>
        <v>Moderada - 0,20</v>
      </c>
      <c r="K20" s="204">
        <f>IF(F20&lt;&gt;"",IF(J20&lt;&gt;"",(RIGHT(J20,3))*(RIGHT(F20,3)),""),"")</f>
        <v>8.0000000000000016E-2</v>
      </c>
      <c r="L20" s="197"/>
      <c r="M20" s="262">
        <f>ROUNDUP('Quantificar '!G20/Qualificar!$M$2,2)</f>
        <v>0.3</v>
      </c>
      <c r="N20" s="262">
        <f>ROUNDUP('Quantificar '!H20/Qualificar!$M$3,2)</f>
        <v>0.34</v>
      </c>
    </row>
    <row r="21" spans="1:36" ht="45" x14ac:dyDescent="0.2">
      <c r="A21" s="205" t="str">
        <f>IF(Identificar!A21&lt;&gt;"",Identificar!A21,"")</f>
        <v>R14</v>
      </c>
      <c r="B21" s="205" t="str">
        <f>IF(Identificar!D21&lt;&gt;"",Identificar!D21,"")</f>
        <v>Dependência de link, ISP único</v>
      </c>
      <c r="C21" s="205" t="str">
        <f>IF(Identificar!E21&lt;&gt;"",Identificar!E21,"")</f>
        <v>Indisponibilidade do ambiente</v>
      </c>
      <c r="D21" s="205" t="str">
        <f>IF(Identificar!F21&lt;&gt;"",Identificar!F21,"")</f>
        <v>Parada de operação e SLA</v>
      </c>
      <c r="E21" s="205" t="str">
        <f>IF(Identificar!G21&lt;&gt;"",Identificar!G21,"")</f>
        <v>Redirecionar tráfego para link backup</v>
      </c>
      <c r="F21" s="267" t="s">
        <v>708</v>
      </c>
      <c r="G21" s="266" t="s">
        <v>710</v>
      </c>
      <c r="H21" s="265" t="s">
        <v>706</v>
      </c>
      <c r="I21" s="264">
        <f>IF(G21&lt;&gt;"",IF(H21&lt;&gt;"",RIGHT(G21,4)*RIGHT(H21,4),""),"")</f>
        <v>2.4200000000000004</v>
      </c>
      <c r="J21" s="263" t="str">
        <f>IF(I21&lt;&gt;"",VLOOKUP(I21,'[4]Sensibilidade ao Risco'!$E$2:$F$30,2,FALSE),"")</f>
        <v>Moderada - 0,20</v>
      </c>
      <c r="K21" s="204">
        <f>IF(F21&lt;&gt;"",IF(J21&lt;&gt;"",(RIGHT(J21,3))*(RIGHT(F21,3)),""),"")</f>
        <v>2.0000000000000004E-2</v>
      </c>
      <c r="L21" s="197"/>
      <c r="M21" s="262">
        <f>ROUNDUP('Quantificar '!G21/Qualificar!$M$2,2)</f>
        <v>0.8</v>
      </c>
      <c r="N21" s="262">
        <f>ROUNDUP('Quantificar '!H21/Qualificar!$M$3,2)</f>
        <v>0.4</v>
      </c>
    </row>
    <row r="22" spans="1:36" ht="45" x14ac:dyDescent="0.2">
      <c r="A22" s="205" t="str">
        <f>IF(Identificar!A22&lt;&gt;"",Identificar!A22,"")</f>
        <v>R15</v>
      </c>
      <c r="B22" s="205" t="str">
        <f>IF(Identificar!D22&lt;&gt;"",Identificar!D22,"")</f>
        <v>Dependências desatualizadas</v>
      </c>
      <c r="C22" s="205" t="str">
        <f>IF(Identificar!E22&lt;&gt;"",Identificar!E22,"")</f>
        <v>Exploração de vulnerabilidades</v>
      </c>
      <c r="D22" s="205" t="str">
        <f>IF(Identificar!F22&lt;&gt;"",Identificar!F22,"")</f>
        <v>Incidente de segurança e parada</v>
      </c>
      <c r="E22" s="205" t="str">
        <f>IF(Identificar!G22&lt;&gt;"",Identificar!G22,"")</f>
        <v>Patch management emergencial</v>
      </c>
      <c r="F22" s="267" t="s">
        <v>702</v>
      </c>
      <c r="G22" s="266" t="s">
        <v>707</v>
      </c>
      <c r="H22" s="265" t="s">
        <v>706</v>
      </c>
      <c r="I22" s="264">
        <f>IF(G22&lt;&gt;"",IF(H22&lt;&gt;"",RIGHT(G22,4)*RIGHT(H22,4),""),"")</f>
        <v>2.64</v>
      </c>
      <c r="J22" s="263" t="str">
        <f>IF(I22&lt;&gt;"",VLOOKUP(I22,'[4]Sensibilidade ao Risco'!$E$2:$F$30,2,FALSE),"")</f>
        <v>Alta - 0,40</v>
      </c>
      <c r="K22" s="204">
        <f>IF(F22&lt;&gt;"",IF(J22&lt;&gt;"",(RIGHT(J22,3))*(RIGHT(F22,3)),""),"")</f>
        <v>0.16000000000000003</v>
      </c>
      <c r="L22" s="197"/>
      <c r="M22" s="262">
        <f>ROUNDUP('Quantificar '!G22/Qualificar!$M$2,2)</f>
        <v>0.9</v>
      </c>
      <c r="N22" s="262">
        <f>ROUNDUP('Quantificar '!H22/Qualificar!$M$3,2)</f>
        <v>0.5</v>
      </c>
    </row>
    <row r="23" spans="1:36" x14ac:dyDescent="0.2">
      <c r="A23" s="205" t="str">
        <f>IF(Identificar!A23&lt;&gt;"",Identificar!A23,"")</f>
        <v/>
      </c>
      <c r="B23" s="205" t="str">
        <f>IF(Identificar!D23&lt;&gt;"",Identificar!D23,"")</f>
        <v/>
      </c>
      <c r="C23" s="205" t="str">
        <f>IF(Identificar!E23&lt;&gt;"",Identificar!E23,"")</f>
        <v/>
      </c>
      <c r="D23" s="205" t="str">
        <f>IF(Identificar!F23&lt;&gt;"",Identificar!F23,"")</f>
        <v/>
      </c>
      <c r="E23" s="205" t="str">
        <f>IF(Identificar!G23&lt;&gt;"",Identificar!G23,"")</f>
        <v/>
      </c>
      <c r="F23" s="267"/>
      <c r="G23" s="266"/>
      <c r="H23" s="265"/>
      <c r="I23" s="264" t="str">
        <f>IF(G23&lt;&gt;"",IF(H23&lt;&gt;"",RIGHT(G23,4)*RIGHT(H23,4),""),"")</f>
        <v/>
      </c>
      <c r="J23" s="263" t="str">
        <f>IF(I23&lt;&gt;"",VLOOKUP(I23,'[4]Sensibilidade ao Risco'!$E$2:$F$30,2,FALSE),"")</f>
        <v/>
      </c>
      <c r="K23" s="204" t="str">
        <f>IF(F23&lt;&gt;"",IF(J23&lt;&gt;"",(RIGHT(J23,3))*(RIGHT(F23,3)),""),"")</f>
        <v/>
      </c>
      <c r="L23" s="197"/>
      <c r="M23" s="262">
        <f>ROUNDUP('Quantificar '!G23/Qualificar!$M$2,2)</f>
        <v>0</v>
      </c>
      <c r="N23" s="262">
        <f>ROUNDUP('Quantificar '!H23/Qualificar!$M$3,2)</f>
        <v>0</v>
      </c>
    </row>
    <row r="24" spans="1:36" x14ac:dyDescent="0.2">
      <c r="A24" s="205" t="str">
        <f>IF(Identificar!A24&lt;&gt;"",Identificar!A24,"")</f>
        <v/>
      </c>
      <c r="B24" s="205" t="str">
        <f>IF(Identificar!D24&lt;&gt;"",Identificar!D24,"")</f>
        <v/>
      </c>
      <c r="C24" s="205" t="str">
        <f>IF(Identificar!E24&lt;&gt;"",Identificar!E24,"")</f>
        <v/>
      </c>
      <c r="D24" s="205" t="str">
        <f>IF(Identificar!F24&lt;&gt;"",Identificar!F24,"")</f>
        <v/>
      </c>
      <c r="E24" s="205" t="str">
        <f>IF(Identificar!G24&lt;&gt;"",Identificar!G24,"")</f>
        <v/>
      </c>
      <c r="F24" s="267"/>
      <c r="G24" s="266"/>
      <c r="H24" s="265"/>
      <c r="I24" s="264" t="str">
        <f>IF(G24&lt;&gt;"",IF(H24&lt;&gt;"",RIGHT(G24,4)*RIGHT(H24,4),""),"")</f>
        <v/>
      </c>
      <c r="J24" s="263" t="str">
        <f>IF(I24&lt;&gt;"",VLOOKUP(I24,'[4]Sensibilidade ao Risco'!$E$2:$F$30,2,FALSE),"")</f>
        <v/>
      </c>
      <c r="K24" s="204" t="str">
        <f>IF(F24&lt;&gt;"",IF(J24&lt;&gt;"",(RIGHT(J24,3))*(RIGHT(F24,3)),""),"")</f>
        <v/>
      </c>
      <c r="L24" s="197"/>
      <c r="M24" s="262">
        <f>ROUNDUP('Quantificar '!G24/Qualificar!$M$2,2)</f>
        <v>0</v>
      </c>
      <c r="N24" s="262">
        <f>ROUNDUP('Quantificar '!H24/Qualificar!$M$3,2)</f>
        <v>0</v>
      </c>
    </row>
    <row r="25" spans="1:36" x14ac:dyDescent="0.2">
      <c r="A25" s="205" t="str">
        <f>IF(Identificar!A25&lt;&gt;"",Identificar!A25,"")</f>
        <v/>
      </c>
      <c r="B25" s="205" t="str">
        <f>IF(Identificar!D25&lt;&gt;"",Identificar!D25,"")</f>
        <v/>
      </c>
      <c r="C25" s="205" t="str">
        <f>IF(Identificar!E25&lt;&gt;"",Identificar!E25,"")</f>
        <v/>
      </c>
      <c r="D25" s="205" t="str">
        <f>IF(Identificar!F25&lt;&gt;"",Identificar!F25,"")</f>
        <v/>
      </c>
      <c r="E25" s="205" t="str">
        <f>IF(Identificar!G25&lt;&gt;"",Identificar!G25,"")</f>
        <v/>
      </c>
      <c r="F25" s="267"/>
      <c r="G25" s="266"/>
      <c r="H25" s="265"/>
      <c r="I25" s="264" t="str">
        <f>IF(G25&lt;&gt;"",IF(H25&lt;&gt;"",RIGHT(G25,4)*RIGHT(H25,4),""),"")</f>
        <v/>
      </c>
      <c r="J25" s="263" t="str">
        <f>IF(I25&lt;&gt;"",VLOOKUP(I25,'[4]Sensibilidade ao Risco'!$E$2:$F$30,2,FALSE),"")</f>
        <v/>
      </c>
      <c r="K25" s="204" t="str">
        <f>IF(F25&lt;&gt;"",IF(J25&lt;&gt;"",(RIGHT(J25,3))*(RIGHT(F25,3)),""),"")</f>
        <v/>
      </c>
      <c r="L25" s="197"/>
      <c r="M25" s="262">
        <f>ROUNDUP('Quantificar '!G25/Qualificar!$M$2,2)</f>
        <v>0</v>
      </c>
      <c r="N25" s="262">
        <f>ROUNDUP('Quantificar '!H25/Qualificar!$M$3,2)</f>
        <v>0</v>
      </c>
    </row>
    <row r="26" spans="1:36" x14ac:dyDescent="0.2">
      <c r="A26" s="205" t="str">
        <f>IF(Identificar!A26&lt;&gt;"",Identificar!A26,"")</f>
        <v/>
      </c>
      <c r="B26" s="205" t="str">
        <f>IF(Identificar!D26&lt;&gt;"",Identificar!D26,"")</f>
        <v/>
      </c>
      <c r="C26" s="205" t="str">
        <f>IF(Identificar!E26&lt;&gt;"",Identificar!E26,"")</f>
        <v/>
      </c>
      <c r="D26" s="205" t="str">
        <f>IF(Identificar!F26&lt;&gt;"",Identificar!F26,"")</f>
        <v/>
      </c>
      <c r="E26" s="205" t="str">
        <f>IF(Identificar!G26&lt;&gt;"",Identificar!G26,"")</f>
        <v/>
      </c>
      <c r="F26" s="267"/>
      <c r="G26" s="266"/>
      <c r="H26" s="265"/>
      <c r="I26" s="264" t="str">
        <f>IF(G26&lt;&gt;"",IF(H26&lt;&gt;"",RIGHT(G26,4)*RIGHT(H26,4),""),"")</f>
        <v/>
      </c>
      <c r="J26" s="263" t="str">
        <f>IF(I26&lt;&gt;"",VLOOKUP(I26,'[4]Sensibilidade ao Risco'!$E$2:$F$30,2,FALSE),"")</f>
        <v/>
      </c>
      <c r="K26" s="204" t="str">
        <f>IF(F26&lt;&gt;"",IF(J26&lt;&gt;"",(RIGHT(J26,3))*(RIGHT(F26,3)),""),"")</f>
        <v/>
      </c>
      <c r="L26" s="197"/>
      <c r="M26" s="262">
        <f>ROUNDUP('Quantificar '!G26/Qualificar!$M$2,2)</f>
        <v>0</v>
      </c>
      <c r="N26" s="262">
        <f>ROUNDUP('Quantificar '!H26/Qualificar!$M$3,2)</f>
        <v>0</v>
      </c>
    </row>
    <row r="27" spans="1:36" x14ac:dyDescent="0.2">
      <c r="A27" s="205" t="str">
        <f>IF(Identificar!A27&lt;&gt;"",Identificar!A27,"")</f>
        <v/>
      </c>
      <c r="B27" s="205" t="str">
        <f>IF(Identificar!D27&lt;&gt;"",Identificar!D27,"")</f>
        <v/>
      </c>
      <c r="C27" s="205" t="str">
        <f>IF(Identificar!E27&lt;&gt;"",Identificar!E27,"")</f>
        <v/>
      </c>
      <c r="D27" s="205" t="str">
        <f>IF(Identificar!F27&lt;&gt;"",Identificar!F27,"")</f>
        <v/>
      </c>
      <c r="E27" s="205" t="str">
        <f>IF(Identificar!G27&lt;&gt;"",Identificar!G27,"")</f>
        <v/>
      </c>
      <c r="F27" s="267"/>
      <c r="G27" s="266"/>
      <c r="H27" s="265"/>
      <c r="I27" s="264" t="str">
        <f>IF(G27&lt;&gt;"",IF(H27&lt;&gt;"",RIGHT(G27,4)*RIGHT(H27,4),""),"")</f>
        <v/>
      </c>
      <c r="J27" s="263" t="str">
        <f>IF(I27&lt;&gt;"",VLOOKUP(I27,'[4]Sensibilidade ao Risco'!$E$2:$F$30,2,FALSE),"")</f>
        <v/>
      </c>
      <c r="K27" s="204" t="str">
        <f>IF(F27&lt;&gt;"",IF(J27&lt;&gt;"",(RIGHT(J27,3))*(RIGHT(F27,3)),""),"")</f>
        <v/>
      </c>
      <c r="L27" s="197"/>
      <c r="M27" s="262">
        <f>ROUNDUP('Quantificar '!G27/Qualificar!$M$2,2)</f>
        <v>0</v>
      </c>
      <c r="N27" s="262">
        <f>ROUNDUP('Quantificar '!H27/Qualificar!$M$3,2)</f>
        <v>0</v>
      </c>
    </row>
    <row r="28" spans="1:36" x14ac:dyDescent="0.2">
      <c r="A28" s="205"/>
      <c r="B28" s="205"/>
      <c r="C28" s="205"/>
      <c r="D28" s="205"/>
      <c r="E28" s="205"/>
      <c r="F28" s="267"/>
      <c r="G28" s="266"/>
      <c r="H28" s="265"/>
      <c r="I28" s="264"/>
      <c r="J28" s="263"/>
      <c r="K28" s="204"/>
      <c r="L28" s="197"/>
      <c r="M28" s="262"/>
      <c r="N28" s="262"/>
    </row>
    <row r="48" spans="6:8" ht="22.5" x14ac:dyDescent="0.2">
      <c r="F48" s="261" t="s">
        <v>713</v>
      </c>
      <c r="G48" s="261" t="s">
        <v>712</v>
      </c>
      <c r="H48" s="261" t="s">
        <v>711</v>
      </c>
    </row>
    <row r="49" spans="6:8" ht="22.5" x14ac:dyDescent="0.2">
      <c r="F49" s="261" t="s">
        <v>710</v>
      </c>
      <c r="G49" s="261" t="s">
        <v>709</v>
      </c>
      <c r="H49" s="261" t="s">
        <v>708</v>
      </c>
    </row>
    <row r="50" spans="6:8" ht="22.5" x14ac:dyDescent="0.2">
      <c r="F50" s="261" t="s">
        <v>707</v>
      </c>
      <c r="G50" s="261" t="s">
        <v>706</v>
      </c>
      <c r="H50" s="261" t="s">
        <v>705</v>
      </c>
    </row>
    <row r="51" spans="6:8" ht="22.5" x14ac:dyDescent="0.2">
      <c r="F51" s="261" t="s">
        <v>704</v>
      </c>
      <c r="G51" s="261" t="s">
        <v>703</v>
      </c>
      <c r="H51" s="261" t="s">
        <v>702</v>
      </c>
    </row>
    <row r="52" spans="6:8" ht="22.5" x14ac:dyDescent="0.2">
      <c r="F52" s="261" t="s">
        <v>701</v>
      </c>
      <c r="G52" s="261" t="s">
        <v>700</v>
      </c>
      <c r="H52" s="261" t="s">
        <v>699</v>
      </c>
    </row>
  </sheetData>
  <autoFilter ref="A6:K27" xr:uid="{AC8198DF-ABC6-45F1-95F8-1455251E0FE6}">
    <filterColumn colId="1" showButton="0"/>
    <filterColumn colId="2" showButton="0"/>
    <filterColumn colId="8" showButton="0"/>
  </autoFilter>
  <mergeCells count="12">
    <mergeCell ref="B6:D6"/>
    <mergeCell ref="E6:E7"/>
    <mergeCell ref="A1:E3"/>
    <mergeCell ref="AI1:AJ1"/>
    <mergeCell ref="F6:F7"/>
    <mergeCell ref="K6:K7"/>
    <mergeCell ref="G6:J6"/>
    <mergeCell ref="AF1:AG1"/>
    <mergeCell ref="M6:M7"/>
    <mergeCell ref="A4:E5"/>
    <mergeCell ref="A6:A7"/>
    <mergeCell ref="N6:N7"/>
  </mergeCells>
  <conditionalFormatting sqref="K8:K28">
    <cfRule type="cellIs" dxfId="2" priority="1" stopIfTrue="1" operator="between">
      <formula>0.005</formula>
      <formula>0.04</formula>
    </cfRule>
    <cfRule type="cellIs" dxfId="1" priority="2" stopIfTrue="1" operator="between">
      <formula>0.05</formula>
      <formula>0.17</formula>
    </cfRule>
    <cfRule type="cellIs" dxfId="0" priority="3" stopIfTrue="1" operator="between">
      <formula>0.18</formula>
      <formula>0.81</formula>
    </cfRule>
  </conditionalFormatting>
  <dataValidations count="3">
    <dataValidation type="list" allowBlank="1" showInputMessage="1" showErrorMessage="1" sqref="F8:F28" xr:uid="{951096F7-B501-4AC4-9D99-7F5665C9E12E}">
      <formula1>$H$48:$H$52</formula1>
    </dataValidation>
    <dataValidation type="list" allowBlank="1" showInputMessage="1" showErrorMessage="1" sqref="G8:G28" xr:uid="{46A67E6E-DA88-4135-B6D6-0A55E9BF0509}">
      <formula1>$F$48:$F$52</formula1>
    </dataValidation>
    <dataValidation type="list" allowBlank="1" showInputMessage="1" showErrorMessage="1" sqref="H8:H28" xr:uid="{F41D3042-0CDA-49CA-8150-8DFAE07B8E48}">
      <formula1>$G$48:$G$52</formula1>
    </dataValidation>
  </dataValidations>
  <pageMargins left="0.59055118110236227" right="0.59055118110236227" top="0.59055118110236227" bottom="0.59055118110236227" header="0.51181102362204722" footer="0.51181102362204722"/>
  <pageSetup paperSize="9" scale="6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EA0C1-9314-41CB-B620-E7154B5BEA0D}">
  <sheetPr codeName="Plan4">
    <pageSetUpPr fitToPage="1"/>
  </sheetPr>
  <dimension ref="A1:AF29"/>
  <sheetViews>
    <sheetView showGridLines="0" zoomScale="80" zoomScaleNormal="80" workbookViewId="0">
      <pane xSplit="5" ySplit="7" topLeftCell="F8" activePane="bottomRight" state="frozen"/>
      <selection pane="topRight" activeCell="G1" sqref="G1"/>
      <selection pane="bottomLeft" activeCell="A5" sqref="A5"/>
      <selection pane="bottomRight" activeCell="G22" sqref="G22"/>
    </sheetView>
  </sheetViews>
  <sheetFormatPr defaultRowHeight="11.25" x14ac:dyDescent="0.2"/>
  <cols>
    <col min="1" max="1" width="4.7109375" style="192" customWidth="1"/>
    <col min="2" max="2" width="30.85546875" style="192" customWidth="1"/>
    <col min="3" max="3" width="25" style="195" customWidth="1"/>
    <col min="4" max="4" width="32.7109375" style="192" customWidth="1"/>
    <col min="5" max="5" width="9.5703125" style="194" customWidth="1"/>
    <col min="6" max="6" width="17.42578125" style="192" customWidth="1"/>
    <col min="7" max="8" width="23.5703125" style="193" customWidth="1"/>
    <col min="9" max="9" width="26.28515625" style="193" customWidth="1"/>
    <col min="10" max="11" width="24.28515625" style="192" customWidth="1"/>
    <col min="12" max="12" width="8.85546875" style="192" customWidth="1"/>
    <col min="13" max="13" width="10" style="192" customWidth="1"/>
    <col min="14" max="14" width="14.28515625" style="192" customWidth="1"/>
    <col min="15" max="16384" width="9.140625" style="192"/>
  </cols>
  <sheetData>
    <row r="1" spans="1:32" ht="13.5" thickBot="1" x14ac:dyDescent="0.25">
      <c r="A1" s="260" t="s">
        <v>752</v>
      </c>
      <c r="B1" s="259"/>
      <c r="C1" s="259"/>
      <c r="D1" s="290"/>
      <c r="AB1" s="254" t="s">
        <v>697</v>
      </c>
      <c r="AC1" s="253"/>
      <c r="AD1" s="41"/>
      <c r="AE1" s="252" t="s">
        <v>696</v>
      </c>
      <c r="AF1" s="251"/>
    </row>
    <row r="2" spans="1:32" ht="12.75" x14ac:dyDescent="0.2">
      <c r="A2" s="249"/>
      <c r="B2" s="248"/>
      <c r="C2" s="248"/>
      <c r="D2" s="291"/>
      <c r="AB2" s="243"/>
      <c r="AC2" s="242"/>
      <c r="AD2" s="41"/>
      <c r="AE2" s="241"/>
      <c r="AF2" s="240"/>
    </row>
    <row r="3" spans="1:32" ht="13.5" thickBot="1" x14ac:dyDescent="0.25">
      <c r="A3" s="239"/>
      <c r="B3" s="238"/>
      <c r="C3" s="238"/>
      <c r="D3" s="289"/>
      <c r="AB3" s="243"/>
      <c r="AC3" s="242"/>
      <c r="AD3" s="41"/>
      <c r="AE3" s="241"/>
      <c r="AF3" s="240"/>
    </row>
    <row r="4" spans="1:32" ht="12.75" x14ac:dyDescent="0.2">
      <c r="A4" s="260" t="str">
        <f>Identificar!A4</f>
        <v>[sigla do projeto] - Nome do Projeto</v>
      </c>
      <c r="B4" s="259"/>
      <c r="C4" s="259"/>
      <c r="D4" s="290"/>
      <c r="AB4" s="243"/>
      <c r="AC4" s="242"/>
      <c r="AD4" s="41"/>
      <c r="AE4" s="241"/>
      <c r="AF4" s="240"/>
    </row>
    <row r="5" spans="1:32" ht="26.25" thickBot="1" x14ac:dyDescent="0.25">
      <c r="A5" s="239"/>
      <c r="B5" s="238"/>
      <c r="C5" s="238"/>
      <c r="D5" s="289"/>
      <c r="E5" s="192"/>
      <c r="AB5" s="234" t="s">
        <v>695</v>
      </c>
      <c r="AC5" s="233">
        <v>1</v>
      </c>
      <c r="AD5" s="41"/>
      <c r="AE5" s="234" t="s">
        <v>694</v>
      </c>
      <c r="AF5" s="233">
        <v>1</v>
      </c>
    </row>
    <row r="6" spans="1:32" ht="27" customHeight="1" thickBot="1" x14ac:dyDescent="0.25">
      <c r="A6" s="232" t="s">
        <v>334</v>
      </c>
      <c r="B6" s="230" t="s">
        <v>692</v>
      </c>
      <c r="C6" s="229"/>
      <c r="D6" s="228"/>
      <c r="E6" s="227" t="s">
        <v>691</v>
      </c>
      <c r="F6" s="224"/>
      <c r="G6" s="226" t="s">
        <v>751</v>
      </c>
      <c r="H6" s="226" t="s">
        <v>750</v>
      </c>
      <c r="I6" s="226" t="s">
        <v>749</v>
      </c>
      <c r="J6" s="226" t="s">
        <v>689</v>
      </c>
      <c r="K6" s="225" t="s">
        <v>688</v>
      </c>
      <c r="AB6" s="213" t="s">
        <v>686</v>
      </c>
      <c r="AC6" s="212">
        <v>2</v>
      </c>
      <c r="AD6" s="41"/>
      <c r="AE6" s="213" t="s">
        <v>685</v>
      </c>
      <c r="AF6" s="212">
        <v>2</v>
      </c>
    </row>
    <row r="7" spans="1:32" s="211" customFormat="1" ht="52.5" customHeight="1" thickBot="1" x14ac:dyDescent="0.25">
      <c r="A7" s="222"/>
      <c r="B7" s="220" t="s">
        <v>683</v>
      </c>
      <c r="C7" s="220" t="s">
        <v>682</v>
      </c>
      <c r="D7" s="219" t="s">
        <v>718</v>
      </c>
      <c r="E7" s="218"/>
      <c r="F7" s="215" t="s">
        <v>680</v>
      </c>
      <c r="G7" s="217"/>
      <c r="H7" s="217"/>
      <c r="I7" s="217"/>
      <c r="J7" s="288"/>
      <c r="K7" s="287"/>
      <c r="AB7" s="213" t="s">
        <v>679</v>
      </c>
      <c r="AC7" s="212">
        <v>3</v>
      </c>
      <c r="AD7" s="41"/>
      <c r="AE7" s="213" t="s">
        <v>678</v>
      </c>
      <c r="AF7" s="212">
        <v>3</v>
      </c>
    </row>
    <row r="8" spans="1:32" ht="56.25" x14ac:dyDescent="0.2">
      <c r="A8" s="205" t="str">
        <f>IF(Identificar!A8&lt;&gt;"",Identificar!A8,"")</f>
        <v>R01</v>
      </c>
      <c r="B8" s="205" t="str">
        <f>IF(Identificar!D8&lt;&gt;"",Identificar!D8,"")</f>
        <v>Contratação tardia de equipe técnica</v>
      </c>
      <c r="C8" s="205" t="str">
        <f>IF(Identificar!E8&lt;&gt;"",Identificar!E8,"")</f>
        <v>Atraso no início do desenvolvimento</v>
      </c>
      <c r="D8" s="205" t="str">
        <f>IF(Identificar!F8&lt;&gt;"",Identificar!F8,"")</f>
        <v>Deslizamento de marcos e compressão do cronograma</v>
      </c>
      <c r="E8" s="205" t="str">
        <f>IF(Identificar!G8&lt;&gt;"",Identificar!G8,"")</f>
        <v>Replanejar marcos e realocar atividades não críticas</v>
      </c>
      <c r="F8" s="197" t="s">
        <v>748</v>
      </c>
      <c r="G8" s="286">
        <v>12000</v>
      </c>
      <c r="H8" s="285">
        <v>20</v>
      </c>
      <c r="I8" s="285" t="s">
        <v>728</v>
      </c>
      <c r="J8" s="284" t="str">
        <f>Identificar!I8</f>
        <v>Pipeline de candidatos ,onboarding antecipado</v>
      </c>
      <c r="K8" s="284" t="str">
        <f>Identificar!J8</f>
        <v>Alocação temporária de terceiros</v>
      </c>
      <c r="AB8" s="207" t="s">
        <v>669</v>
      </c>
      <c r="AC8" s="206">
        <v>4</v>
      </c>
      <c r="AD8" s="208"/>
      <c r="AE8" s="207" t="s">
        <v>668</v>
      </c>
      <c r="AF8" s="206">
        <v>4</v>
      </c>
    </row>
    <row r="9" spans="1:32" ht="57" thickBot="1" x14ac:dyDescent="0.25">
      <c r="A9" s="205" t="str">
        <f>IF(Identificar!A9&lt;&gt;"",Identificar!A9,"")</f>
        <v>R02</v>
      </c>
      <c r="B9" s="205" t="str">
        <f>IF(Identificar!D9&lt;&gt;"",Identificar!D9,"")</f>
        <v>Reajustes contratuais e variação cambial</v>
      </c>
      <c r="C9" s="205" t="str">
        <f>IF(Identificar!E9&lt;&gt;"",Identificar!E9,"")</f>
        <v>Estouro de orçamento</v>
      </c>
      <c r="D9" s="205" t="str">
        <f>IF(Identificar!F9&lt;&gt;"",Identificar!F9,"")</f>
        <v>Redução de escopo e contingenciamento</v>
      </c>
      <c r="E9" s="205" t="str">
        <f>IF(Identificar!G9&lt;&gt;"",Identificar!G9,"")</f>
        <v>Repriorizar entregas, acionar reserva gerencial</v>
      </c>
      <c r="F9" s="197" t="s">
        <v>747</v>
      </c>
      <c r="G9" s="286">
        <v>10000</v>
      </c>
      <c r="H9" s="285" t="s">
        <v>746</v>
      </c>
      <c r="I9" s="285" t="s">
        <v>728</v>
      </c>
      <c r="J9" s="284" t="str">
        <f>Identificar!I9</f>
        <v>Cláusulas de teto, múltiplas cotações</v>
      </c>
      <c r="K9" s="284" t="str">
        <f>Identificar!J9</f>
        <v>Troca de fornecedor/escopo alternativo</v>
      </c>
      <c r="AB9" s="210"/>
      <c r="AC9" s="209"/>
      <c r="AD9" s="208"/>
      <c r="AE9" s="207"/>
      <c r="AF9" s="206"/>
    </row>
    <row r="10" spans="1:32" ht="57" thickBot="1" x14ac:dyDescent="0.25">
      <c r="A10" s="205" t="str">
        <f>IF(Identificar!A10&lt;&gt;"",Identificar!A10,"")</f>
        <v>R03</v>
      </c>
      <c r="B10" s="205" t="str">
        <f>IF(Identificar!D10&lt;&gt;"",Identificar!D10,"")</f>
        <v>Janela de testes comprimida</v>
      </c>
      <c r="C10" s="205" t="str">
        <f>IF(Identificar!E10&lt;&gt;"",Identificar!E10,"")</f>
        <v>Defeitos críticos em produção</v>
      </c>
      <c r="D10" s="205" t="str">
        <f>IF(Identificar!F10&lt;&gt;"",Identificar!F10,"")</f>
        <v>Retrabalho e custos adicionais</v>
      </c>
      <c r="E10" s="205" t="str">
        <f>IF(Identificar!G10&lt;&gt;"",Identificar!G10,"")</f>
        <v>Gate Go/No-Go até sanar defeitos críticos</v>
      </c>
      <c r="F10" s="197" t="s">
        <v>745</v>
      </c>
      <c r="G10" s="286">
        <v>11000</v>
      </c>
      <c r="H10" s="285">
        <v>30</v>
      </c>
      <c r="I10" s="285" t="s">
        <v>738</v>
      </c>
      <c r="J10" s="284" t="str">
        <f>Identificar!I10</f>
        <v>Plano de testes por risco; automação</v>
      </c>
      <c r="K10" s="284" t="str">
        <f>Identificar!J10</f>
        <v>Hotfixes priorizados, war room</v>
      </c>
      <c r="AB10" s="210"/>
      <c r="AC10" s="209"/>
      <c r="AD10" s="208"/>
      <c r="AE10" s="207"/>
      <c r="AF10" s="206"/>
    </row>
    <row r="11" spans="1:32" ht="45.75" thickBot="1" x14ac:dyDescent="0.25">
      <c r="A11" s="205" t="str">
        <f>IF(Identificar!A11&lt;&gt;"",Identificar!A11,"")</f>
        <v>R04</v>
      </c>
      <c r="B11" s="205" t="str">
        <f>IF(Identificar!D11&lt;&gt;"",Identificar!D11,"")</f>
        <v>Ausências e rotatividade</v>
      </c>
      <c r="C11" s="205" t="str">
        <f>IF(Identificar!E11&lt;&gt;"",Identificar!E11,"")</f>
        <v>Indisponibilidade de recursos-chave</v>
      </c>
      <c r="D11" s="205" t="str">
        <f>IF(Identificar!F11&lt;&gt;"",Identificar!F11,"")</f>
        <v>Queda de produtividade e atrasos</v>
      </c>
      <c r="E11" s="205" t="str">
        <f>IF(Identificar!G11&lt;&gt;"",Identificar!G11,"")</f>
        <v>Replanejar sprints e redistribuir tarefas</v>
      </c>
      <c r="F11" s="197" t="s">
        <v>744</v>
      </c>
      <c r="G11" s="286">
        <v>4000</v>
      </c>
      <c r="H11" s="285" t="s">
        <v>743</v>
      </c>
      <c r="I11" s="285" t="s">
        <v>728</v>
      </c>
      <c r="J11" s="284" t="str">
        <f>Identificar!I11</f>
        <v>Plano de backup, documentação; pareamento</v>
      </c>
      <c r="K11" s="284" t="str">
        <f>Identificar!J11</f>
        <v>Banco de horas, contratação temporária</v>
      </c>
      <c r="AB11" s="210"/>
      <c r="AC11" s="209"/>
      <c r="AD11" s="208"/>
      <c r="AE11" s="207"/>
      <c r="AF11" s="206"/>
    </row>
    <row r="12" spans="1:32" ht="45.75" thickBot="1" x14ac:dyDescent="0.25">
      <c r="A12" s="205" t="str">
        <f>IF(Identificar!A12&lt;&gt;"",Identificar!A12,"")</f>
        <v>R05</v>
      </c>
      <c r="B12" s="205" t="str">
        <f>IF(Identificar!D12&lt;&gt;"",Identificar!D12,"")</f>
        <v>SLA de terceiro apertado</v>
      </c>
      <c r="C12" s="205" t="str">
        <f>IF(Identificar!E12&lt;&gt;"",Identificar!E12,"")</f>
        <v>Atraso em componentes de integração</v>
      </c>
      <c r="D12" s="205" t="str">
        <f>IF(Identificar!F12&lt;&gt;"",Identificar!F12,"")</f>
        <v>Bloqueio de integrações e marcos</v>
      </c>
      <c r="E12" s="205" t="str">
        <f>IF(Identificar!G12&lt;&gt;"",Identificar!G12,"")</f>
        <v>Paralelizar tarefas independentes</v>
      </c>
      <c r="F12" s="197" t="s">
        <v>742</v>
      </c>
      <c r="G12" s="286">
        <v>12000</v>
      </c>
      <c r="H12" s="285" t="s">
        <v>741</v>
      </c>
      <c r="I12" s="285" t="s">
        <v>728</v>
      </c>
      <c r="J12" s="284" t="str">
        <f>Identificar!I12</f>
        <v xml:space="preserve"> Acordos de SLA/multa, plano alternativo</v>
      </c>
      <c r="K12" s="284" t="str">
        <f>Identificar!J12</f>
        <v>Stub/mocks temporários</v>
      </c>
      <c r="AB12" s="210"/>
      <c r="AC12" s="209"/>
      <c r="AD12" s="208"/>
      <c r="AE12" s="207"/>
      <c r="AF12" s="206"/>
    </row>
    <row r="13" spans="1:32" ht="45.75" thickBot="1" x14ac:dyDescent="0.25">
      <c r="A13" s="205" t="str">
        <f>IF(Identificar!A13&lt;&gt;"",Identificar!A13,"")</f>
        <v>R06</v>
      </c>
      <c r="B13" s="205" t="str">
        <f>IF(Identificar!D13&lt;&gt;"",Identificar!D13,"")</f>
        <v>Novas demandas</v>
      </c>
      <c r="C13" s="205" t="str">
        <f>IF(Identificar!E13&lt;&gt;"",Identificar!E13,"")</f>
        <v>Aumento de escopo</v>
      </c>
      <c r="D13" s="205" t="str">
        <f>IF(Identificar!F13&lt;&gt;"",Identificar!F13,"")</f>
        <v>Pressão em prazo e custo</v>
      </c>
      <c r="E13" s="205" t="str">
        <f>IF(Identificar!G13&lt;&gt;"",Identificar!G13,"")</f>
        <v>Acionar CCB e repriorizar backlog</v>
      </c>
      <c r="F13" s="197" t="s">
        <v>740</v>
      </c>
      <c r="G13" s="286">
        <v>18000</v>
      </c>
      <c r="H13" s="285" t="s">
        <v>739</v>
      </c>
      <c r="I13" s="285" t="s">
        <v>738</v>
      </c>
      <c r="J13" s="284" t="str">
        <f>Identificar!I13</f>
        <v>Critérios de aceite, timebox</v>
      </c>
      <c r="K13" s="284" t="str">
        <f>Identificar!J13</f>
        <v>Fatiar entregas; MVP</v>
      </c>
      <c r="AB13" s="210"/>
      <c r="AC13" s="209"/>
      <c r="AD13" s="208"/>
      <c r="AE13" s="207"/>
      <c r="AF13" s="206"/>
    </row>
    <row r="14" spans="1:32" ht="45.75" thickBot="1" x14ac:dyDescent="0.25">
      <c r="A14" s="205" t="str">
        <f>IF(Identificar!A14&lt;&gt;"",Identificar!A14,"")</f>
        <v>R07</v>
      </c>
      <c r="B14" s="205" t="str">
        <f>IF(Identificar!D14&lt;&gt;"",Identificar!D14,"")</f>
        <v>Interpretação tardia de requisitos</v>
      </c>
      <c r="C14" s="205" t="str">
        <f>IF(Identificar!E14&lt;&gt;"",Identificar!E14,"")</f>
        <v>Não conformidade regulatória</v>
      </c>
      <c r="D14" s="205" t="str">
        <f>IF(Identificar!F14&lt;&gt;"",Identificar!F14,"")</f>
        <v>Retrabalho e risco reputacional</v>
      </c>
      <c r="E14" s="205" t="str">
        <f>IF(Identificar!G14&lt;&gt;"",Identificar!G14,"")</f>
        <v>Bloquear release até conformidade</v>
      </c>
      <c r="F14" s="197" t="s">
        <v>737</v>
      </c>
      <c r="G14" s="286">
        <v>6000</v>
      </c>
      <c r="H14" s="285">
        <v>10</v>
      </c>
      <c r="I14" s="285" t="s">
        <v>728</v>
      </c>
      <c r="J14" s="284" t="str">
        <f>Identificar!I14</f>
        <v>Checklist jurídico, auditorias internas</v>
      </c>
      <c r="K14" s="284" t="str">
        <f>Identificar!J14</f>
        <v>Task force para adequação urgente</v>
      </c>
      <c r="AB14" s="210"/>
      <c r="AC14" s="209"/>
      <c r="AD14" s="208"/>
      <c r="AE14" s="207"/>
      <c r="AF14" s="206"/>
    </row>
    <row r="15" spans="1:32" ht="57" thickBot="1" x14ac:dyDescent="0.25">
      <c r="A15" s="205" t="str">
        <f>IF(Identificar!A15&lt;&gt;"",Identificar!A15,"")</f>
        <v>R08</v>
      </c>
      <c r="B15" s="205" t="str">
        <f>IF(Identificar!D15&lt;&gt;"",Identificar!D15,"")</f>
        <v>Dados reais em testes; acessos excessivos</v>
      </c>
      <c r="C15" s="205" t="str">
        <f>IF(Identificar!E15&lt;&gt;"",Identificar!E15,"")</f>
        <v>Vazamento de dados</v>
      </c>
      <c r="D15" s="205" t="str">
        <f>IF(Identificar!F15&lt;&gt;"",Identificar!F15,"")</f>
        <v>Sanções e danos reputacionais</v>
      </c>
      <c r="E15" s="205" t="str">
        <f>IF(Identificar!G15&lt;&gt;"",Identificar!G15,"")</f>
        <v>Acionar resposta a incidentes; notificar DPO</v>
      </c>
      <c r="F15" s="197" t="s">
        <v>736</v>
      </c>
      <c r="G15" s="286">
        <v>14000</v>
      </c>
      <c r="H15" s="285">
        <v>15</v>
      </c>
      <c r="I15" s="285" t="s">
        <v>728</v>
      </c>
      <c r="J15" s="284" t="str">
        <f>Identificar!I15</f>
        <v>Anonimização, RBAC, hardening</v>
      </c>
      <c r="K15" s="284" t="str">
        <f>Identificar!J15</f>
        <v>Isolamento do ambiente, rotação de credenciais</v>
      </c>
      <c r="AB15" s="210"/>
      <c r="AC15" s="209"/>
      <c r="AD15" s="208"/>
      <c r="AE15" s="207"/>
      <c r="AF15" s="206"/>
    </row>
    <row r="16" spans="1:32" ht="57" thickBot="1" x14ac:dyDescent="0.25">
      <c r="A16" s="205" t="str">
        <f>IF(Identificar!A16&lt;&gt;"",Identificar!A16,"")</f>
        <v>R09</v>
      </c>
      <c r="B16" s="205" t="str">
        <f>IF(Identificar!D16&lt;&gt;"",Identificar!D16,"")</f>
        <v>Requisitos ambíguos</v>
      </c>
      <c r="C16" s="205" t="str">
        <f>IF(Identificar!E16&lt;&gt;"",Identificar!E16,"")</f>
        <v>Entregas fora da necessidade do usuário</v>
      </c>
      <c r="D16" s="205" t="str">
        <f>IF(Identificar!F16&lt;&gt;"",Identificar!F16,"")</f>
        <v>Retrabalho e baixa adoção</v>
      </c>
      <c r="E16" s="205" t="str">
        <f>IF(Identificar!G16&lt;&gt;"",Identificar!G16,"")</f>
        <v>Refinamento com usuários e correções dirigidas</v>
      </c>
      <c r="F16" s="197" t="s">
        <v>735</v>
      </c>
      <c r="G16" s="286">
        <v>5000</v>
      </c>
      <c r="H16" s="285">
        <v>12</v>
      </c>
      <c r="I16" s="285" t="s">
        <v>728</v>
      </c>
      <c r="J16" s="284" t="str">
        <f>Identificar!I16</f>
        <v>DoR/DoD, protótipos validáveis</v>
      </c>
      <c r="K16" s="284" t="str">
        <f>Identificar!J16</f>
        <v>Sprint de correção focada</v>
      </c>
      <c r="AB16" s="210"/>
      <c r="AC16" s="209"/>
      <c r="AD16" s="208"/>
      <c r="AE16" s="207"/>
      <c r="AF16" s="206"/>
    </row>
    <row r="17" spans="1:32" ht="34.5" thickBot="1" x14ac:dyDescent="0.25">
      <c r="A17" s="205" t="str">
        <f>IF(Identificar!A17&lt;&gt;"",Identificar!A17,"")</f>
        <v>R10</v>
      </c>
      <c r="B17" s="205" t="str">
        <f>IF(Identificar!D17&lt;&gt;"",Identificar!D17,"")</f>
        <v>Capacidade insuficiente de ambiente</v>
      </c>
      <c r="C17" s="205" t="str">
        <f>IF(Identificar!E17&lt;&gt;"",Identificar!E17,"")</f>
        <v>Degradação de performance</v>
      </c>
      <c r="D17" s="205" t="str">
        <f>IF(Identificar!F17&lt;&gt;"",Identificar!F17,"")</f>
        <v>SLA violado e insatisfação</v>
      </c>
      <c r="E17" s="205" t="str">
        <f>IF(Identificar!G17&lt;&gt;"",Identificar!G17,"")</f>
        <v>Escalar recursos; otimização</v>
      </c>
      <c r="F17" s="197" t="s">
        <v>734</v>
      </c>
      <c r="G17" s="286">
        <v>9000</v>
      </c>
      <c r="H17" s="285">
        <v>15</v>
      </c>
      <c r="I17" s="285" t="s">
        <v>728</v>
      </c>
      <c r="J17" s="284" t="str">
        <f>Identificar!I17</f>
        <v>Testes de carga; auto-scaling</v>
      </c>
      <c r="K17" s="284" t="str">
        <f>Identificar!J17</f>
        <v>CDN/cache; feature flags</v>
      </c>
      <c r="AB17" s="210"/>
      <c r="AC17" s="209"/>
      <c r="AD17" s="208"/>
      <c r="AE17" s="207"/>
      <c r="AF17" s="206"/>
    </row>
    <row r="18" spans="1:32" ht="34.5" thickBot="1" x14ac:dyDescent="0.25">
      <c r="A18" s="205" t="str">
        <f>IF(Identificar!A18&lt;&gt;"",Identificar!A18,"")</f>
        <v>R11</v>
      </c>
      <c r="B18" s="205" t="str">
        <f>IF(Identificar!D18&lt;&gt;"",Identificar!D18,"")</f>
        <v>Capacitação insuficiente dos usuários</v>
      </c>
      <c r="C18" s="205" t="str">
        <f>IF(Identificar!E18&lt;&gt;"",Identificar!E18,"")</f>
        <v>Baixa adoção do sistema</v>
      </c>
      <c r="D18" s="205" t="str">
        <f>IF(Identificar!F18&lt;&gt;"",Identificar!F18,"")</f>
        <v>Queda de valor percebido</v>
      </c>
      <c r="E18" s="205" t="str">
        <f>IF(Identificar!G18&lt;&gt;"",Identificar!G18,"")</f>
        <v>Capacitação extra pós-go-live</v>
      </c>
      <c r="F18" s="197" t="s">
        <v>733</v>
      </c>
      <c r="G18" s="286">
        <v>3000</v>
      </c>
      <c r="H18" s="285">
        <v>10</v>
      </c>
      <c r="I18" s="285" t="s">
        <v>728</v>
      </c>
      <c r="J18" s="284" t="str">
        <f>Identificar!I18</f>
        <v>Trilhas de treinamento; materiais práticos</v>
      </c>
      <c r="K18" s="284" t="str">
        <f>Identificar!J18</f>
        <v>Suporte dedicado temporário</v>
      </c>
      <c r="AB18" s="210"/>
      <c r="AC18" s="209"/>
      <c r="AD18" s="208"/>
      <c r="AE18" s="207"/>
      <c r="AF18" s="206"/>
    </row>
    <row r="19" spans="1:32" ht="45.75" thickBot="1" x14ac:dyDescent="0.25">
      <c r="A19" s="205" t="str">
        <f>IF(Identificar!A19&lt;&gt;"",Identificar!A19,"")</f>
        <v>R12</v>
      </c>
      <c r="B19" s="205" t="str">
        <f>IF(Identificar!D19&lt;&gt;"",Identificar!D19,"")</f>
        <v>Inconsistências na migração</v>
      </c>
      <c r="C19" s="205" t="str">
        <f>IF(Identificar!E19&lt;&gt;"",Identificar!E19,"")</f>
        <v>Erros operacionais pós-go-live</v>
      </c>
      <c r="D19" s="205" t="str">
        <f>IF(Identificar!F19&lt;&gt;"",Identificar!F19,"")</f>
        <v>Interrupções e retrabalho</v>
      </c>
      <c r="E19" s="205" t="str">
        <f>IF(Identificar!G19&lt;&gt;"",Identificar!G19,"")</f>
        <v>Rollback parcial e correção dirigida</v>
      </c>
      <c r="F19" s="197" t="s">
        <v>732</v>
      </c>
      <c r="G19" s="286">
        <v>12000</v>
      </c>
      <c r="H19" s="285">
        <v>20</v>
      </c>
      <c r="I19" s="285" t="s">
        <v>728</v>
      </c>
      <c r="J19" s="284" t="str">
        <f>Identificar!I19</f>
        <v>Ensaios de migração; validação amostral</v>
      </c>
      <c r="K19" s="284" t="str">
        <f>Identificar!J19</f>
        <v>Plano de reversão na janela</v>
      </c>
      <c r="AB19" s="210"/>
      <c r="AC19" s="209"/>
      <c r="AD19" s="208"/>
      <c r="AE19" s="207"/>
      <c r="AF19" s="206"/>
    </row>
    <row r="20" spans="1:32" ht="45.75" thickBot="1" x14ac:dyDescent="0.25">
      <c r="A20" s="205" t="str">
        <f>IF(Identificar!A20&lt;&gt;"",Identificar!A20,"")</f>
        <v>R13</v>
      </c>
      <c r="B20" s="205" t="str">
        <f>IF(Identificar!D20&lt;&gt;"",Identificar!D20,"")</f>
        <v>Falhas de alinhamento entre times</v>
      </c>
      <c r="C20" s="205" t="str">
        <f>IF(Identificar!E20&lt;&gt;"",Identificar!E20,"")</f>
        <v>Decisões conflitantes e retrabalho</v>
      </c>
      <c r="D20" s="205" t="str">
        <f>IF(Identificar!F20&lt;&gt;"",Identificar!F20,"")</f>
        <v>Atrasos e perda de foco</v>
      </c>
      <c r="E20" s="205" t="str">
        <f>IF(Identificar!G20&lt;&gt;"",Identificar!G20,"")</f>
        <v>Ritual extraordinário de alinhamento</v>
      </c>
      <c r="F20" s="197" t="s">
        <v>731</v>
      </c>
      <c r="G20" s="286">
        <v>3000</v>
      </c>
      <c r="H20" s="285">
        <v>10</v>
      </c>
      <c r="I20" s="285" t="s">
        <v>728</v>
      </c>
      <c r="J20" s="284" t="str">
        <f>Identificar!I20</f>
        <v>Cadência de governança, RACI</v>
      </c>
      <c r="K20" s="284" t="str">
        <f>Identificar!J20</f>
        <v>Comitê de crise semanal</v>
      </c>
      <c r="AB20" s="210"/>
      <c r="AC20" s="209"/>
      <c r="AD20" s="208"/>
      <c r="AE20" s="207"/>
      <c r="AF20" s="206"/>
    </row>
    <row r="21" spans="1:32" ht="45.75" thickBot="1" x14ac:dyDescent="0.25">
      <c r="A21" s="205" t="str">
        <f>IF(Identificar!A21&lt;&gt;"",Identificar!A21,"")</f>
        <v>R14</v>
      </c>
      <c r="B21" s="205" t="str">
        <f>IF(Identificar!D21&lt;&gt;"",Identificar!D21,"")</f>
        <v>Dependência de link, ISP único</v>
      </c>
      <c r="C21" s="205" t="str">
        <f>IF(Identificar!E21&lt;&gt;"",Identificar!E21,"")</f>
        <v>Indisponibilidade do ambiente</v>
      </c>
      <c r="D21" s="205" t="str">
        <f>IF(Identificar!F21&lt;&gt;"",Identificar!F21,"")</f>
        <v>Parada de operação e SLA</v>
      </c>
      <c r="E21" s="205" t="str">
        <f>IF(Identificar!G21&lt;&gt;"",Identificar!G21,"")</f>
        <v>Redirecionar tráfego para link backup</v>
      </c>
      <c r="F21" s="197" t="s">
        <v>730</v>
      </c>
      <c r="G21" s="286">
        <v>8000</v>
      </c>
      <c r="H21" s="285">
        <v>12</v>
      </c>
      <c r="I21" s="285" t="s">
        <v>728</v>
      </c>
      <c r="J21" s="284" t="str">
        <f>Identificar!I21</f>
        <v>Redundância multi-ISP, health checks</v>
      </c>
      <c r="K21" s="284" t="str">
        <f>Identificar!J21</f>
        <v>Failover automático e comunicação</v>
      </c>
      <c r="AB21" s="210"/>
      <c r="AC21" s="209"/>
      <c r="AD21" s="208"/>
      <c r="AE21" s="207"/>
      <c r="AF21" s="206"/>
    </row>
    <row r="22" spans="1:32" ht="45.75" thickBot="1" x14ac:dyDescent="0.25">
      <c r="A22" s="205" t="str">
        <f>IF(Identificar!A22&lt;&gt;"",Identificar!A22,"")</f>
        <v>R15</v>
      </c>
      <c r="B22" s="205" t="str">
        <f>IF(Identificar!D22&lt;&gt;"",Identificar!D22,"")</f>
        <v>Dependências desatualizadas</v>
      </c>
      <c r="C22" s="205" t="str">
        <f>IF(Identificar!E22&lt;&gt;"",Identificar!E22,"")</f>
        <v>Exploração de vulnerabilidades</v>
      </c>
      <c r="D22" s="205" t="str">
        <f>IF(Identificar!F22&lt;&gt;"",Identificar!F22,"")</f>
        <v>Incidente de segurança e parada</v>
      </c>
      <c r="E22" s="205" t="str">
        <f>IF(Identificar!G22&lt;&gt;"",Identificar!G22,"")</f>
        <v>Patch management emergencial</v>
      </c>
      <c r="F22" s="197" t="s">
        <v>729</v>
      </c>
      <c r="G22" s="286">
        <v>9000</v>
      </c>
      <c r="H22" s="285">
        <v>15</v>
      </c>
      <c r="I22" s="285" t="s">
        <v>728</v>
      </c>
      <c r="J22" s="284" t="str">
        <f>Identificar!I22</f>
        <v>SCA/SAST, política de atualização</v>
      </c>
      <c r="K22" s="284" t="str">
        <f>Identificar!J22</f>
        <v>Isolamento do serviço afetado</v>
      </c>
      <c r="AB22" s="210"/>
      <c r="AC22" s="209"/>
      <c r="AD22" s="208"/>
      <c r="AE22" s="207"/>
      <c r="AF22" s="206"/>
    </row>
    <row r="23" spans="1:32" ht="16.5" thickBot="1" x14ac:dyDescent="0.25">
      <c r="A23" s="205" t="str">
        <f>IF(Identificar!A23&lt;&gt;"",Identificar!A23,"")</f>
        <v/>
      </c>
      <c r="B23" s="205" t="str">
        <f>IF(Identificar!D23&lt;&gt;"",Identificar!D23,"")</f>
        <v/>
      </c>
      <c r="C23" s="205" t="str">
        <f>IF(Identificar!E23&lt;&gt;"",Identificar!E23,"")</f>
        <v/>
      </c>
      <c r="D23" s="205" t="str">
        <f>IF(Identificar!F23&lt;&gt;"",Identificar!F23,"")</f>
        <v/>
      </c>
      <c r="E23" s="205" t="str">
        <f>IF(Identificar!G23&lt;&gt;"",Identificar!G23,"")</f>
        <v/>
      </c>
      <c r="F23" s="197"/>
      <c r="G23" s="286"/>
      <c r="H23" s="285"/>
      <c r="I23" s="285"/>
      <c r="J23" s="284">
        <f>Identificar!I23</f>
        <v>0</v>
      </c>
      <c r="K23" s="284">
        <f>Identificar!J23</f>
        <v>0</v>
      </c>
      <c r="AB23" s="210"/>
      <c r="AC23" s="209"/>
      <c r="AD23" s="208"/>
      <c r="AE23" s="207"/>
      <c r="AF23" s="206"/>
    </row>
    <row r="24" spans="1:32" ht="16.5" thickBot="1" x14ac:dyDescent="0.25">
      <c r="A24" s="205" t="str">
        <f>IF(Identificar!A24&lt;&gt;"",Identificar!A24,"")</f>
        <v/>
      </c>
      <c r="B24" s="205" t="str">
        <f>IF(Identificar!D24&lt;&gt;"",Identificar!D24,"")</f>
        <v/>
      </c>
      <c r="C24" s="205" t="str">
        <f>IF(Identificar!E24&lt;&gt;"",Identificar!E24,"")</f>
        <v/>
      </c>
      <c r="D24" s="205" t="str">
        <f>IF(Identificar!F24&lt;&gt;"",Identificar!F24,"")</f>
        <v/>
      </c>
      <c r="E24" s="205" t="str">
        <f>IF(Identificar!G24&lt;&gt;"",Identificar!G24,"")</f>
        <v/>
      </c>
      <c r="F24" s="197"/>
      <c r="G24" s="286"/>
      <c r="H24" s="285"/>
      <c r="I24" s="285"/>
      <c r="J24" s="284">
        <f>Identificar!I24</f>
        <v>0</v>
      </c>
      <c r="K24" s="284">
        <f>Identificar!J24</f>
        <v>0</v>
      </c>
      <c r="AB24" s="210"/>
      <c r="AC24" s="209"/>
      <c r="AD24" s="208"/>
      <c r="AE24" s="207"/>
      <c r="AF24" s="206"/>
    </row>
    <row r="25" spans="1:32" ht="16.5" thickBot="1" x14ac:dyDescent="0.25">
      <c r="A25" s="205" t="str">
        <f>IF(Identificar!A25&lt;&gt;"",Identificar!A25,"")</f>
        <v/>
      </c>
      <c r="B25" s="205" t="str">
        <f>IF(Identificar!D25&lt;&gt;"",Identificar!D25,"")</f>
        <v/>
      </c>
      <c r="C25" s="205" t="str">
        <f>IF(Identificar!E25&lt;&gt;"",Identificar!E25,"")</f>
        <v/>
      </c>
      <c r="D25" s="205" t="str">
        <f>IF(Identificar!F25&lt;&gt;"",Identificar!F25,"")</f>
        <v/>
      </c>
      <c r="E25" s="205" t="str">
        <f>IF(Identificar!G25&lt;&gt;"",Identificar!G25,"")</f>
        <v/>
      </c>
      <c r="F25" s="197"/>
      <c r="G25" s="286"/>
      <c r="H25" s="285"/>
      <c r="I25" s="285"/>
      <c r="J25" s="284">
        <f>Identificar!I25</f>
        <v>0</v>
      </c>
      <c r="K25" s="284">
        <f>Identificar!J25</f>
        <v>0</v>
      </c>
      <c r="AB25" s="210"/>
      <c r="AC25" s="209"/>
      <c r="AD25" s="208"/>
      <c r="AE25" s="207"/>
      <c r="AF25" s="206"/>
    </row>
    <row r="26" spans="1:32" ht="16.5" thickBot="1" x14ac:dyDescent="0.25">
      <c r="A26" s="205" t="str">
        <f>IF(Identificar!A26&lt;&gt;"",Identificar!A26,"")</f>
        <v/>
      </c>
      <c r="B26" s="205" t="str">
        <f>IF(Identificar!D26&lt;&gt;"",Identificar!D26,"")</f>
        <v/>
      </c>
      <c r="C26" s="205" t="str">
        <f>IF(Identificar!E26&lt;&gt;"",Identificar!E26,"")</f>
        <v/>
      </c>
      <c r="D26" s="205" t="str">
        <f>IF(Identificar!F26&lt;&gt;"",Identificar!F26,"")</f>
        <v/>
      </c>
      <c r="E26" s="205" t="str">
        <f>IF(Identificar!G26&lt;&gt;"",Identificar!G26,"")</f>
        <v/>
      </c>
      <c r="F26" s="197"/>
      <c r="G26" s="286"/>
      <c r="H26" s="285"/>
      <c r="I26" s="285"/>
      <c r="J26" s="284">
        <f>Identificar!I26</f>
        <v>0</v>
      </c>
      <c r="K26" s="284">
        <f>Identificar!J26</f>
        <v>0</v>
      </c>
      <c r="AB26" s="210"/>
      <c r="AC26" s="209"/>
      <c r="AD26" s="208"/>
      <c r="AE26" s="207"/>
      <c r="AF26" s="206"/>
    </row>
    <row r="27" spans="1:32" ht="16.5" thickBot="1" x14ac:dyDescent="0.25">
      <c r="A27" s="205" t="str">
        <f>IF(Identificar!A27&lt;&gt;"",Identificar!A27,"")</f>
        <v/>
      </c>
      <c r="B27" s="205" t="str">
        <f>IF(Identificar!D27&lt;&gt;"",Identificar!D27,"")</f>
        <v/>
      </c>
      <c r="C27" s="205" t="str">
        <f>IF(Identificar!E27&lt;&gt;"",Identificar!E27,"")</f>
        <v/>
      </c>
      <c r="D27" s="205" t="str">
        <f>IF(Identificar!F27&lt;&gt;"",Identificar!F27,"")</f>
        <v/>
      </c>
      <c r="E27" s="205" t="str">
        <f>IF(Identificar!G27&lt;&gt;"",Identificar!G27,"")</f>
        <v/>
      </c>
      <c r="F27" s="197"/>
      <c r="G27" s="286"/>
      <c r="H27" s="285"/>
      <c r="I27" s="285"/>
      <c r="J27" s="284">
        <f>Identificar!I27</f>
        <v>0</v>
      </c>
      <c r="K27" s="284">
        <f>Identificar!J27</f>
        <v>0</v>
      </c>
      <c r="AB27" s="210"/>
      <c r="AC27" s="209"/>
      <c r="AD27" s="208"/>
      <c r="AE27" s="207"/>
      <c r="AF27" s="206"/>
    </row>
    <row r="28" spans="1:32" ht="16.5" thickBot="1" x14ac:dyDescent="0.25">
      <c r="A28" s="205" t="str">
        <f>IF(Identificar!A28&lt;&gt;"",Identificar!A28,"")</f>
        <v/>
      </c>
      <c r="B28" s="205" t="str">
        <f>IF(Identificar!D28&lt;&gt;"",Identificar!D28,"")</f>
        <v/>
      </c>
      <c r="C28" s="205" t="str">
        <f>IF(Identificar!E28&lt;&gt;"",Identificar!E28,"")</f>
        <v/>
      </c>
      <c r="D28" s="205" t="str">
        <f>IF(Identificar!F28&lt;&gt;"",Identificar!F28,"")</f>
        <v/>
      </c>
      <c r="E28" s="205" t="str">
        <f>IF(Identificar!G28&lt;&gt;"",Identificar!G28,"")</f>
        <v/>
      </c>
      <c r="F28" s="197"/>
      <c r="G28" s="286"/>
      <c r="H28" s="285"/>
      <c r="I28" s="285"/>
      <c r="J28" s="284">
        <f>Identificar!I28</f>
        <v>0</v>
      </c>
      <c r="K28" s="284">
        <f>Identificar!J28</f>
        <v>0</v>
      </c>
      <c r="AB28" s="210"/>
      <c r="AC28" s="209"/>
      <c r="AD28" s="208"/>
      <c r="AE28" s="207"/>
      <c r="AF28" s="206"/>
    </row>
    <row r="29" spans="1:32" ht="16.5" thickBot="1" x14ac:dyDescent="0.25">
      <c r="A29" s="205" t="str">
        <f>IF(Identificar!A29&lt;&gt;"",Identificar!A29,"")</f>
        <v/>
      </c>
      <c r="B29" s="205" t="str">
        <f>IF(Identificar!D29&lt;&gt;"",Identificar!D29,"")</f>
        <v/>
      </c>
      <c r="C29" s="205" t="str">
        <f>IF(Identificar!E29&lt;&gt;"",Identificar!E29,"")</f>
        <v/>
      </c>
      <c r="D29" s="205" t="str">
        <f>IF(Identificar!F29&lt;&gt;"",Identificar!F29,"")</f>
        <v/>
      </c>
      <c r="E29" s="205" t="str">
        <f>IF(Identificar!G29&lt;&gt;"",Identificar!G29,"")</f>
        <v/>
      </c>
      <c r="F29" s="197"/>
      <c r="G29" s="286"/>
      <c r="H29" s="285"/>
      <c r="I29" s="285"/>
      <c r="J29" s="284">
        <f>Identificar!I29</f>
        <v>0</v>
      </c>
      <c r="K29" s="284">
        <f>Identificar!J29</f>
        <v>0</v>
      </c>
      <c r="AB29" s="210"/>
      <c r="AC29" s="209"/>
      <c r="AD29" s="208"/>
      <c r="AE29" s="207"/>
      <c r="AF29" s="206"/>
    </row>
  </sheetData>
  <autoFilter ref="A6:E17" xr:uid="{76E1B6DC-CC8F-42BF-9BF6-972563379C03}">
    <filterColumn colId="1" showButton="0"/>
    <filterColumn colId="2" showButton="0"/>
  </autoFilter>
  <mergeCells count="12">
    <mergeCell ref="H6:H7"/>
    <mergeCell ref="B6:D6"/>
    <mergeCell ref="AE1:AF1"/>
    <mergeCell ref="A1:D3"/>
    <mergeCell ref="A4:D5"/>
    <mergeCell ref="AB1:AC1"/>
    <mergeCell ref="A6:A7"/>
    <mergeCell ref="E6:E7"/>
    <mergeCell ref="I6:I7"/>
    <mergeCell ref="J6:J7"/>
    <mergeCell ref="K6:K7"/>
    <mergeCell ref="G6:G7"/>
  </mergeCells>
  <pageMargins left="0.59055118110236227" right="0.59055118110236227" top="0.59055118110236227" bottom="0.59055118110236227" header="0.51181102362204722" footer="0.51181102362204722"/>
  <pageSetup paperSize="9" scale="61"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7D362-47DF-4AD8-96C4-9B7DA943E918}">
  <dimension ref="A1:N10"/>
  <sheetViews>
    <sheetView tabSelected="1" zoomScale="70" zoomScaleNormal="70" workbookViewId="0">
      <selection activeCell="B1" sqref="B1"/>
    </sheetView>
  </sheetViews>
  <sheetFormatPr defaultRowHeight="15" x14ac:dyDescent="0.25"/>
  <cols>
    <col min="1" max="1" width="25.28515625" style="292" customWidth="1"/>
    <col min="2" max="2" width="37.42578125" style="292" customWidth="1"/>
    <col min="3" max="3" width="42.42578125" style="292" customWidth="1"/>
    <col min="4" max="4" width="33.140625" style="292" customWidth="1"/>
    <col min="5" max="5" width="27.42578125" style="292" customWidth="1"/>
    <col min="6" max="6" width="27.7109375" style="292" customWidth="1"/>
    <col min="7" max="7" width="33.42578125" style="292" customWidth="1"/>
    <col min="8" max="8" width="24.140625" style="292" customWidth="1"/>
    <col min="9" max="9" width="26.28515625" style="292" customWidth="1"/>
    <col min="10" max="10" width="34.5703125" style="292" customWidth="1"/>
    <col min="11" max="11" width="29.5703125" style="292" customWidth="1"/>
    <col min="12" max="12" width="32.7109375" style="292" customWidth="1"/>
    <col min="13" max="13" width="27.42578125" style="292" customWidth="1"/>
    <col min="14" max="14" width="36.28515625" style="292" customWidth="1"/>
    <col min="15" max="16384" width="9.140625" style="292"/>
  </cols>
  <sheetData>
    <row r="1" spans="1:14" ht="30.75" thickBot="1" x14ac:dyDescent="0.3">
      <c r="A1" s="297" t="s">
        <v>306</v>
      </c>
      <c r="B1" s="297" t="s">
        <v>885</v>
      </c>
      <c r="C1" s="297" t="s">
        <v>884</v>
      </c>
      <c r="D1" s="297" t="s">
        <v>883</v>
      </c>
      <c r="E1" s="297" t="s">
        <v>882</v>
      </c>
      <c r="F1" s="297" t="s">
        <v>881</v>
      </c>
      <c r="G1" s="297" t="s">
        <v>880</v>
      </c>
      <c r="H1" s="297" t="s">
        <v>879</v>
      </c>
      <c r="I1" s="297" t="s">
        <v>878</v>
      </c>
      <c r="J1" s="297" t="s">
        <v>877</v>
      </c>
      <c r="K1" s="297" t="s">
        <v>876</v>
      </c>
      <c r="L1" s="297" t="s">
        <v>875</v>
      </c>
      <c r="M1" s="297" t="s">
        <v>206</v>
      </c>
      <c r="N1" s="297" t="s">
        <v>874</v>
      </c>
    </row>
    <row r="2" spans="1:14" ht="210.75" customHeight="1" thickBot="1" x14ac:dyDescent="0.3">
      <c r="A2" s="295" t="s">
        <v>873</v>
      </c>
      <c r="B2" s="293" t="s">
        <v>872</v>
      </c>
      <c r="C2" s="293" t="s">
        <v>871</v>
      </c>
      <c r="D2" s="293" t="s">
        <v>870</v>
      </c>
      <c r="E2" s="293" t="s">
        <v>869</v>
      </c>
      <c r="F2" s="293" t="s">
        <v>868</v>
      </c>
      <c r="G2" s="293" t="s">
        <v>867</v>
      </c>
      <c r="H2" s="293" t="s">
        <v>866</v>
      </c>
      <c r="I2" s="293" t="s">
        <v>865</v>
      </c>
      <c r="J2" s="293" t="s">
        <v>864</v>
      </c>
      <c r="K2" s="293" t="s">
        <v>863</v>
      </c>
      <c r="L2" s="293" t="s">
        <v>862</v>
      </c>
      <c r="M2" s="293" t="s">
        <v>861</v>
      </c>
      <c r="N2" s="293" t="s">
        <v>860</v>
      </c>
    </row>
    <row r="3" spans="1:14" ht="165.75" customHeight="1" thickBot="1" x14ac:dyDescent="0.3">
      <c r="A3" s="296"/>
      <c r="B3" s="293" t="s">
        <v>859</v>
      </c>
      <c r="C3" s="293" t="s">
        <v>858</v>
      </c>
      <c r="D3" s="293" t="s">
        <v>857</v>
      </c>
      <c r="E3" s="293" t="s">
        <v>856</v>
      </c>
      <c r="F3" s="293" t="s">
        <v>855</v>
      </c>
      <c r="G3" s="293" t="s">
        <v>854</v>
      </c>
      <c r="H3" s="293" t="s">
        <v>853</v>
      </c>
      <c r="I3" s="293" t="s">
        <v>852</v>
      </c>
      <c r="J3" s="293" t="s">
        <v>851</v>
      </c>
      <c r="K3" s="293" t="s">
        <v>850</v>
      </c>
      <c r="L3" s="293" t="s">
        <v>849</v>
      </c>
      <c r="M3" s="293" t="s">
        <v>848</v>
      </c>
      <c r="N3" s="293" t="s">
        <v>847</v>
      </c>
    </row>
    <row r="4" spans="1:14" ht="214.5" customHeight="1" thickBot="1" x14ac:dyDescent="0.3">
      <c r="A4" s="296"/>
      <c r="B4" s="293" t="s">
        <v>846</v>
      </c>
      <c r="C4" s="293" t="s">
        <v>845</v>
      </c>
      <c r="D4" s="293" t="s">
        <v>844</v>
      </c>
      <c r="E4" s="293" t="s">
        <v>843</v>
      </c>
      <c r="F4" s="293" t="s">
        <v>842</v>
      </c>
      <c r="G4" s="293" t="s">
        <v>841</v>
      </c>
      <c r="H4" s="293" t="s">
        <v>840</v>
      </c>
      <c r="I4" s="293" t="s">
        <v>839</v>
      </c>
      <c r="J4" s="293" t="s">
        <v>838</v>
      </c>
      <c r="K4" s="293" t="s">
        <v>837</v>
      </c>
      <c r="L4" s="293" t="s">
        <v>836</v>
      </c>
      <c r="M4" s="293" t="s">
        <v>835</v>
      </c>
      <c r="N4" s="293" t="s">
        <v>834</v>
      </c>
    </row>
    <row r="5" spans="1:14" ht="155.25" customHeight="1" thickBot="1" x14ac:dyDescent="0.3">
      <c r="A5" s="294"/>
      <c r="B5" s="293" t="s">
        <v>833</v>
      </c>
      <c r="C5" s="293" t="s">
        <v>832</v>
      </c>
      <c r="D5" s="293" t="s">
        <v>831</v>
      </c>
      <c r="E5" s="293" t="s">
        <v>830</v>
      </c>
      <c r="F5" s="293" t="s">
        <v>829</v>
      </c>
      <c r="G5" s="293" t="s">
        <v>828</v>
      </c>
      <c r="H5" s="293" t="s">
        <v>827</v>
      </c>
      <c r="I5" s="293" t="s">
        <v>826</v>
      </c>
      <c r="J5" s="293" t="s">
        <v>825</v>
      </c>
      <c r="K5" s="293" t="s">
        <v>824</v>
      </c>
      <c r="L5" s="293" t="s">
        <v>823</v>
      </c>
      <c r="M5" s="293" t="s">
        <v>822</v>
      </c>
      <c r="N5" s="293" t="s">
        <v>821</v>
      </c>
    </row>
    <row r="6" spans="1:14" ht="163.5" customHeight="1" thickBot="1" x14ac:dyDescent="0.3">
      <c r="A6" s="295" t="s">
        <v>820</v>
      </c>
      <c r="B6" s="293" t="s">
        <v>819</v>
      </c>
      <c r="C6" s="293" t="s">
        <v>818</v>
      </c>
      <c r="D6" s="293" t="s">
        <v>817</v>
      </c>
      <c r="E6" s="293" t="s">
        <v>816</v>
      </c>
      <c r="F6" s="293" t="s">
        <v>815</v>
      </c>
      <c r="G6" s="293" t="s">
        <v>814</v>
      </c>
      <c r="H6" s="293" t="s">
        <v>813</v>
      </c>
      <c r="I6" s="293" t="s">
        <v>812</v>
      </c>
      <c r="J6" s="293" t="s">
        <v>811</v>
      </c>
      <c r="K6" s="293" t="s">
        <v>810</v>
      </c>
      <c r="L6" s="293" t="s">
        <v>809</v>
      </c>
      <c r="M6" s="293" t="s">
        <v>808</v>
      </c>
      <c r="N6" s="293" t="s">
        <v>807</v>
      </c>
    </row>
    <row r="7" spans="1:14" ht="114.75" customHeight="1" thickBot="1" x14ac:dyDescent="0.3">
      <c r="A7" s="294"/>
      <c r="B7" s="293" t="s">
        <v>806</v>
      </c>
      <c r="C7" s="293" t="s">
        <v>805</v>
      </c>
      <c r="D7" s="293" t="s">
        <v>804</v>
      </c>
      <c r="E7" s="293" t="s">
        <v>803</v>
      </c>
      <c r="F7" s="293" t="s">
        <v>802</v>
      </c>
      <c r="G7" s="293" t="s">
        <v>801</v>
      </c>
      <c r="H7" s="293" t="s">
        <v>800</v>
      </c>
      <c r="I7" s="293" t="s">
        <v>799</v>
      </c>
      <c r="J7" s="293" t="s">
        <v>798</v>
      </c>
      <c r="K7" s="293" t="s">
        <v>797</v>
      </c>
      <c r="L7" s="293" t="s">
        <v>796</v>
      </c>
      <c r="M7" s="293" t="s">
        <v>782</v>
      </c>
      <c r="N7" s="293" t="s">
        <v>795</v>
      </c>
    </row>
    <row r="8" spans="1:14" ht="163.5" customHeight="1" thickBot="1" x14ac:dyDescent="0.3">
      <c r="A8" s="293" t="s">
        <v>794</v>
      </c>
      <c r="B8" s="293" t="s">
        <v>793</v>
      </c>
      <c r="C8" s="293" t="s">
        <v>792</v>
      </c>
      <c r="D8" s="293" t="s">
        <v>791</v>
      </c>
      <c r="E8" s="293" t="s">
        <v>790</v>
      </c>
      <c r="F8" s="293" t="s">
        <v>789</v>
      </c>
      <c r="G8" s="293" t="s">
        <v>788</v>
      </c>
      <c r="H8" s="293" t="s">
        <v>787</v>
      </c>
      <c r="I8" s="293" t="s">
        <v>786</v>
      </c>
      <c r="J8" s="293" t="s">
        <v>785</v>
      </c>
      <c r="K8" s="293" t="s">
        <v>784</v>
      </c>
      <c r="L8" s="293" t="s">
        <v>783</v>
      </c>
      <c r="M8" s="293" t="s">
        <v>782</v>
      </c>
      <c r="N8" s="293" t="s">
        <v>781</v>
      </c>
    </row>
    <row r="9" spans="1:14" ht="102.75" customHeight="1" thickBot="1" x14ac:dyDescent="0.3">
      <c r="A9" s="293" t="s">
        <v>780</v>
      </c>
      <c r="B9" s="293" t="s">
        <v>779</v>
      </c>
      <c r="C9" s="293" t="s">
        <v>778</v>
      </c>
      <c r="D9" s="293" t="s">
        <v>777</v>
      </c>
      <c r="E9" s="293" t="s">
        <v>776</v>
      </c>
      <c r="F9" s="293" t="s">
        <v>775</v>
      </c>
      <c r="G9" s="293" t="s">
        <v>774</v>
      </c>
      <c r="H9" s="293" t="s">
        <v>773</v>
      </c>
      <c r="I9" s="293" t="s">
        <v>772</v>
      </c>
      <c r="J9" s="293" t="s">
        <v>771</v>
      </c>
      <c r="K9" s="293" t="s">
        <v>770</v>
      </c>
      <c r="L9" s="293" t="s">
        <v>769</v>
      </c>
      <c r="M9" s="293" t="s">
        <v>768</v>
      </c>
      <c r="N9" s="293" t="s">
        <v>767</v>
      </c>
    </row>
    <row r="10" spans="1:14" ht="135" customHeight="1" thickBot="1" x14ac:dyDescent="0.3">
      <c r="A10" s="293" t="s">
        <v>766</v>
      </c>
      <c r="B10" s="293" t="s">
        <v>765</v>
      </c>
      <c r="C10" s="293" t="s">
        <v>764</v>
      </c>
      <c r="D10" s="293" t="s">
        <v>763</v>
      </c>
      <c r="E10" s="293" t="s">
        <v>762</v>
      </c>
      <c r="F10" s="293" t="s">
        <v>761</v>
      </c>
      <c r="G10" s="293" t="s">
        <v>760</v>
      </c>
      <c r="H10" s="293" t="s">
        <v>759</v>
      </c>
      <c r="I10" s="293" t="s">
        <v>758</v>
      </c>
      <c r="J10" s="293" t="s">
        <v>757</v>
      </c>
      <c r="K10" s="293" t="s">
        <v>756</v>
      </c>
      <c r="L10" s="293" t="s">
        <v>755</v>
      </c>
      <c r="M10" s="293" t="s">
        <v>754</v>
      </c>
      <c r="N10" s="293" t="s">
        <v>753</v>
      </c>
    </row>
  </sheetData>
  <mergeCells count="2">
    <mergeCell ref="A2:A5"/>
    <mergeCell ref="A6:A7"/>
  </mergeCells>
  <pageMargins left="0.511811024" right="0.511811024" top="0.78740157499999996" bottom="0.78740157499999996" header="0.31496062000000002" footer="0.31496062000000002"/>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00913EBD791854CBD0FEF6F36867446" ma:contentTypeVersion="0" ma:contentTypeDescription="Create a new document." ma:contentTypeScope="" ma:versionID="089b817de8877ff87350f92b5db496bd">
  <xsd:schema xmlns:xsd="http://www.w3.org/2001/XMLSchema" xmlns:xs="http://www.w3.org/2001/XMLSchema" xmlns:p="http://schemas.microsoft.com/office/2006/metadata/properties" targetNamespace="http://schemas.microsoft.com/office/2006/metadata/properties" ma:root="true" ma:fieldsID="040c36eedecd41bcbb684dfb12e8e7f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45BA2DD-BB2C-4E15-9029-BF145F5173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017E202F-370F-4B43-B137-7BC2F00A3A7C}">
  <ds:schemaRefs>
    <ds:schemaRef ds:uri="http://schemas.microsoft.com/sharepoint/v3/contenttype/forms"/>
  </ds:schemaRefs>
</ds:datastoreItem>
</file>

<file path=customXml/itemProps3.xml><?xml version="1.0" encoding="utf-8"?>
<ds:datastoreItem xmlns:ds="http://schemas.openxmlformats.org/officeDocument/2006/customXml" ds:itemID="{894C9ACC-7CB4-4BC7-AD5A-87D8CBA4A58C}">
  <ds:schemaRefs>
    <ds:schemaRef ds:uri="http://purl.org/dc/dcmitype/"/>
    <ds:schemaRef ds:uri="http://schemas.microsoft.com/office/2006/metadata/properties"/>
    <ds:schemaRef ds:uri="http://schemas.microsoft.com/office/infopath/2007/PartnerControls"/>
    <ds:schemaRef ds:uri="http://schemas.openxmlformats.org/package/2006/metadata/core-properties"/>
    <ds:schemaRef ds:uri="http://schemas.microsoft.com/office/2006/documentManagement/types"/>
    <ds:schemaRef ds:uri="http://www.w3.org/XML/1998/namespace"/>
    <ds:schemaRef ds:uri="http://purl.org/dc/elements/1.1/"/>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16</vt:i4>
      </vt:variant>
      <vt:variant>
        <vt:lpstr>Intervalos Nomeados</vt:lpstr>
      </vt:variant>
      <vt:variant>
        <vt:i4>6</vt:i4>
      </vt:variant>
    </vt:vector>
  </HeadingPairs>
  <TitlesOfParts>
    <vt:vector size="22" baseType="lpstr">
      <vt:lpstr>Project Charter (2)</vt:lpstr>
      <vt:lpstr>Diagrama de rede-precedência</vt:lpstr>
      <vt:lpstr>WBS Detalhado</vt:lpstr>
      <vt:lpstr>Plano comunicação</vt:lpstr>
      <vt:lpstr>Gestão Custo</vt:lpstr>
      <vt:lpstr>OrçadoXRealizado</vt:lpstr>
      <vt:lpstr>Analise de risco </vt:lpstr>
      <vt:lpstr>Histórico de Risco</vt:lpstr>
      <vt:lpstr>Gráfico de Gantt</vt:lpstr>
      <vt:lpstr>PV_dependência</vt:lpstr>
      <vt:lpstr>Cronograma_de_Custos (2)</vt:lpstr>
      <vt:lpstr>Organograma da equipe</vt:lpstr>
      <vt:lpstr>Identificar</vt:lpstr>
      <vt:lpstr>Qualificar</vt:lpstr>
      <vt:lpstr>Quantificar </vt:lpstr>
      <vt:lpstr>SAM</vt:lpstr>
      <vt:lpstr>'Cronograma_de_Custos (2)'!Area_de_impressao</vt:lpstr>
      <vt:lpstr>Identificar!Area_de_impressao</vt:lpstr>
      <vt:lpstr>Qualificar!Area_de_impressao</vt:lpstr>
      <vt:lpstr>'Quantificar '!Area_de_impressao</vt:lpstr>
      <vt:lpstr>Início_do_projeto</vt:lpstr>
      <vt:lpstr>Semana_de_exibição</vt:lpstr>
    </vt:vector>
  </TitlesOfParts>
  <Manager/>
  <Company>FECAP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dmello</dc:creator>
  <cp:keywords/>
  <dc:description/>
  <cp:lastModifiedBy>Matheus Veiga</cp:lastModifiedBy>
  <cp:revision/>
  <dcterms:created xsi:type="dcterms:W3CDTF">2009-09-10T00:53:44Z</dcterms:created>
  <dcterms:modified xsi:type="dcterms:W3CDTF">2025-11-12T01:38:53Z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0x010100000913EBD791854CBD0FEF6F36867446</vt:lpwstr>
  </property>
</Properties>
</file>